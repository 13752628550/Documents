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autoit\打印机安装\"/>
    </mc:Choice>
  </mc:AlternateContent>
  <bookViews>
    <workbookView xWindow="0" yWindow="0" windowWidth="12000" windowHeight="4860"/>
  </bookViews>
  <sheets>
    <sheet name="printer" sheetId="1" r:id="rId1"/>
    <sheet name="inifile" sheetId="15" r:id="rId2"/>
    <sheet name="otherbak" sheetId="16" r:id="rId3"/>
  </sheets>
  <calcPr calcId="162913"/>
</workbook>
</file>

<file path=xl/calcChain.xml><?xml version="1.0" encoding="utf-8"?>
<calcChain xmlns="http://schemas.openxmlformats.org/spreadsheetml/2006/main">
  <c r="I11" i="1" l="1"/>
  <c r="I21" i="1" l="1"/>
  <c r="I8" i="1" l="1"/>
  <c r="I9" i="1"/>
  <c r="I10" i="1"/>
  <c r="I12" i="1"/>
  <c r="I13" i="1"/>
  <c r="I14" i="1"/>
  <c r="I15" i="1"/>
  <c r="I16" i="1"/>
  <c r="I17" i="1"/>
  <c r="I18" i="1"/>
  <c r="I20" i="1"/>
  <c r="I22" i="1"/>
  <c r="I23" i="1"/>
  <c r="I25" i="1"/>
  <c r="I19" i="1"/>
  <c r="I7" i="1"/>
  <c r="E1" i="1"/>
  <c r="I19" i="16" l="1"/>
  <c r="I18" i="16"/>
  <c r="I17" i="16" l="1"/>
</calcChain>
</file>

<file path=xl/sharedStrings.xml><?xml version="1.0" encoding="utf-8"?>
<sst xmlns="http://schemas.openxmlformats.org/spreadsheetml/2006/main" count="547" uniqueCount="363">
  <si>
    <t>radio1</t>
  </si>
  <si>
    <t>车载一部</t>
  </si>
  <si>
    <t>172.26.39.240</t>
  </si>
  <si>
    <t>\\172.26.32.251\softwa\print\Driver\HP\LaserJet P2015 Series\x64\hppdp604.inf</t>
  </si>
  <si>
    <t>\\172.26.32.251\softwa\print\Driver\HP\LaserJet P2015 Series\x86\hppcp604.inf</t>
  </si>
  <si>
    <t>HP LaserJet P2015 Series PCL 6</t>
  </si>
  <si>
    <t>\\172.26.32.251\softwa\print\Driver\HP\LaserJet 5200\x64\hpc520xu.inf</t>
  </si>
  <si>
    <t>\\172.26.32.251\softwa\print\Driver\HP\LaserJet 5200\x86\hpc520xc.inf</t>
  </si>
  <si>
    <t>HP LaserJet 5200 PCL 6</t>
  </si>
  <si>
    <t>FX DocuCentre-V C4475 T2 PCL 6</t>
  </si>
  <si>
    <t>radio4</t>
  </si>
  <si>
    <t>一楼仑库</t>
  </si>
  <si>
    <t>172.26.37.246</t>
  </si>
  <si>
    <t>车载二部</t>
  </si>
  <si>
    <t>172.26.36.241</t>
  </si>
  <si>
    <t>radio7</t>
  </si>
  <si>
    <t>生管</t>
  </si>
  <si>
    <t>172.26.36.244</t>
  </si>
  <si>
    <t>radio8</t>
  </si>
  <si>
    <t>172.26.36.247</t>
  </si>
  <si>
    <t>\\172.26.32.251\softwa\print\Driver\Canon\IR-ADV 4045\x64\CNLB0CA64.INF</t>
  </si>
  <si>
    <t>\\172.26.32.251\softwa\print\Driver\Canon\IR-ADV 4045\x86\CNLB0C.INF</t>
  </si>
  <si>
    <t>Canon iR-ADV 4045/4051 UFR II</t>
  </si>
  <si>
    <t>172.26.36.248</t>
  </si>
  <si>
    <t>\\172.26.32.251\softwa\print\Driver\HP\LaserJet 400\x64\hpcm401u.inf</t>
  </si>
  <si>
    <t>\\172.26.32.251\softwa\print\Driver\HP\LaserJet 400\x86\hpcm401c.inf</t>
  </si>
  <si>
    <t>HP LaserJet 400 M401 PCL 6</t>
  </si>
  <si>
    <t>radio10</t>
  </si>
  <si>
    <t>三楼仓库</t>
  </si>
  <si>
    <t>172.26.38.245</t>
  </si>
  <si>
    <t>Canon iR-ADV C5250/5255 UFR II</t>
  </si>
  <si>
    <t>administrator/password</t>
  </si>
  <si>
    <t>HP LaserJet 5100 PCL 6</t>
  </si>
  <si>
    <t>radio19</t>
  </si>
  <si>
    <t>生产技术部</t>
  </si>
  <si>
    <t>172.26.37.244</t>
  </si>
  <si>
    <t>\\172.26.32.251\softwa\print\Driver\HP\LaserJet 3600\x64\hpc3600w.inf</t>
  </si>
  <si>
    <t>\\172.26.32.251\softwa\print\Driver\HP\LaserJet 3600\x86\hpc3600e.inf</t>
  </si>
  <si>
    <t>HP Color LaserJet 3600</t>
  </si>
  <si>
    <t>\\172.26.32.251\softwa\print\Driver\Xerox\ApeosPort-V C3373 T2\x64\FX6SFAL.inf</t>
  </si>
  <si>
    <t>\\172.26.32.251\softwa\print\Driver\Xerox\ApeosPort-V C3373 T2\x86\FX6SFAL.inf</t>
  </si>
  <si>
    <t>FX ApeosPort-V C3373 T2 PCL 6</t>
  </si>
  <si>
    <t>radio25</t>
  </si>
  <si>
    <t>品证部</t>
  </si>
  <si>
    <t>172.26.37.241</t>
  </si>
  <si>
    <t>\\172.26.32.251\softwa\print\Driver\HP\LaserJet 5550\x64\prnhp001.Inf</t>
  </si>
  <si>
    <t>\\172.26.32.251\softwa\print\Driver\HP\LaserJet 5550\x86\prnhp001.Inf</t>
  </si>
  <si>
    <t>HP Color LaserJet 5550 PCL 5</t>
  </si>
  <si>
    <t>Canon LBP6300</t>
  </si>
  <si>
    <t>172.26.35.247</t>
  </si>
  <si>
    <t>FX DocuCentre-II 4000 PCL 6</t>
  </si>
  <si>
    <t>radio33</t>
  </si>
  <si>
    <t>管理部</t>
  </si>
  <si>
    <t>172.26.35.245</t>
  </si>
  <si>
    <t>\\172.26.32.251\softwa\print\Driver\Canon\imageCLASS C3500\x86\CNLAC32.inf</t>
  </si>
  <si>
    <t>Canon imageCLASS C3500</t>
  </si>
  <si>
    <t>\\172.26.32.251\softwa\print\Driver\Xerox\ApeosPort-V C3375 T2\x64\FX6SFAL.inf</t>
  </si>
  <si>
    <t>\\172.26.32.251\softwa\print\Driver\Xerox\ApeosPort-V C3375 T2\x86\FX6SFAL.inf</t>
  </si>
  <si>
    <t>172.26.37.240</t>
    <phoneticPr fontId="3" type="noConversion"/>
  </si>
  <si>
    <t>FX DocuCentre-V C2265 PCL 6</t>
    <phoneticPr fontId="3" type="noConversion"/>
  </si>
  <si>
    <t>Administrator/7654321</t>
    <phoneticPr fontId="3" type="noConversion"/>
  </si>
  <si>
    <t>Canon iR-ADV C3520 UFR II</t>
    <phoneticPr fontId="3" type="noConversion"/>
  </si>
  <si>
    <t>radio6</t>
    <phoneticPr fontId="3" type="noConversion"/>
  </si>
  <si>
    <t>HP LaserJet Pro MFP M125-M126 PCLmS</t>
    <phoneticPr fontId="3" type="noConversion"/>
  </si>
  <si>
    <t>按钮</t>
    <phoneticPr fontId="3" type="noConversion"/>
  </si>
  <si>
    <t>其他信息记录</t>
    <phoneticPr fontId="3" type="noConversion"/>
  </si>
  <si>
    <t>2018.7.9</t>
  </si>
  <si>
    <t>2018.7.9</t>
    <phoneticPr fontId="3" type="noConversion"/>
  </si>
  <si>
    <t>是否租用设备</t>
    <phoneticPr fontId="3" type="noConversion"/>
  </si>
  <si>
    <t>11111/x-admin</t>
    <phoneticPr fontId="3" type="noConversion"/>
  </si>
  <si>
    <t>172.26.36.250</t>
    <phoneticPr fontId="3" type="noConversion"/>
  </si>
  <si>
    <t>172.26.39.243</t>
    <phoneticPr fontId="3" type="noConversion"/>
  </si>
  <si>
    <t>172.26.36.246</t>
    <phoneticPr fontId="3" type="noConversion"/>
  </si>
  <si>
    <t>HP DesignJet T730</t>
  </si>
  <si>
    <t>域用户</t>
    <phoneticPr fontId="6" type="noConversion"/>
  </si>
  <si>
    <t>field</t>
    <phoneticPr fontId="3" type="noConversion"/>
  </si>
  <si>
    <t>update</t>
    <phoneticPr fontId="3" type="noConversion"/>
  </si>
  <si>
    <t>department</t>
    <phoneticPr fontId="3" type="noConversion"/>
  </si>
  <si>
    <t>department2</t>
    <phoneticPr fontId="3" type="noConversion"/>
  </si>
  <si>
    <t>No1</t>
    <phoneticPr fontId="3" type="noConversion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</si>
  <si>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</si>
  <si>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</si>
  <si>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</si>
  <si>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</si>
  <si>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</si>
  <si>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</si>
  <si>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</si>
  <si>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</si>
  <si>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</si>
  <si>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</si>
  <si>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</si>
  <si>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</si>
  <si>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</si>
  <si>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</si>
  <si>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</si>
  <si>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</si>
  <si>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No19</t>
  </si>
  <si>
    <t>No25</t>
  </si>
  <si>
    <t>disPrinterName</t>
    <phoneticPr fontId="3" type="noConversion"/>
  </si>
  <si>
    <t>drvPathX64</t>
    <phoneticPr fontId="3" type="noConversion"/>
  </si>
  <si>
    <t>drvPathX86</t>
    <phoneticPr fontId="3" type="noConversion"/>
  </si>
  <si>
    <t>SetPrinterDrive</t>
    <phoneticPr fontId="3" type="noConversion"/>
  </si>
  <si>
    <t>SetPrinterIP</t>
    <phoneticPr fontId="3" type="noConversion"/>
  </si>
  <si>
    <t>SetPrinterCommand</t>
    <phoneticPr fontId="3" type="noConversion"/>
  </si>
  <si>
    <t>\\172.26.32.251\softwa\pcsetup\domain\inifile\printer.ini</t>
    <phoneticPr fontId="3" type="noConversion"/>
  </si>
  <si>
    <t>[parameter]</t>
  </si>
  <si>
    <t>update=2018.7.9</t>
  </si>
  <si>
    <t>SetPrinterIP=172.26.35.246</t>
  </si>
  <si>
    <t>SetPrinterDrive=FX ApeosPort-V C3373 T2 PCL 6</t>
  </si>
  <si>
    <t>[No1]</t>
  </si>
  <si>
    <t>SetPrinterCommand=</t>
  </si>
  <si>
    <t>[No2]</t>
  </si>
  <si>
    <t>SetPrinterIP=172.26.38.246</t>
  </si>
  <si>
    <t>SetPrinterDrive=HP LaserJet 5200 PCL 6</t>
  </si>
  <si>
    <t>[No3]</t>
  </si>
  <si>
    <t>SetPrinterIP=172.26.36.250</t>
  </si>
  <si>
    <t>SetPrinterDrive=FX DocuCentre-V C4475 T2 PCL 6</t>
  </si>
  <si>
    <t>[No4]</t>
  </si>
  <si>
    <t>[No5]</t>
  </si>
  <si>
    <t>SetPrinterIP=172.26.39.250</t>
  </si>
  <si>
    <t>SetPrinterDrive=HP LaserJet Pro MFP M125-M126 PCLmS</t>
  </si>
  <si>
    <t>[No6]</t>
  </si>
  <si>
    <t>[No8]</t>
  </si>
  <si>
    <t>[No9]</t>
  </si>
  <si>
    <t>[No10]</t>
  </si>
  <si>
    <t>[No11]</t>
  </si>
  <si>
    <t>SetPrinterIP=172.26.39.243</t>
  </si>
  <si>
    <t>SetPrinterDrive=Canon iR-ADV C5250/5255 UFR II</t>
  </si>
  <si>
    <t>[No12]</t>
  </si>
  <si>
    <t>SetPrinterDrive=Canon iR-ADV C3520 UFR II</t>
  </si>
  <si>
    <t>[No13]</t>
  </si>
  <si>
    <t>SetPrinterIP=172.26.39.247</t>
  </si>
  <si>
    <t>[No14]</t>
  </si>
  <si>
    <t>SetPrinterIP=172.26.39.248</t>
  </si>
  <si>
    <t>SetPrinterDrive=HP LaserJet 5100 PCL 6</t>
  </si>
  <si>
    <t>[No15]</t>
  </si>
  <si>
    <t>SetPrinterIP=172.26.37.251</t>
  </si>
  <si>
    <t>[No16]</t>
  </si>
  <si>
    <t>[No17]</t>
  </si>
  <si>
    <t>SetPrinterIP=172.26.36.243</t>
  </si>
  <si>
    <t>SetPrinterDrive=HP DesignJet T730</t>
  </si>
  <si>
    <t>SetPrinterIP=172.26.36.246</t>
  </si>
  <si>
    <t>SetPrinterIP=172.26.37.252</t>
  </si>
  <si>
    <t>SetPrinterDrive=Canon LBP6300</t>
  </si>
  <si>
    <t>SetPrinterIP=172.26.37.240</t>
  </si>
  <si>
    <t>SetPrinterDrive=FX DocuCentre-V C2265 PCL 6</t>
  </si>
  <si>
    <t>SetPrinterIP=172.26.38.248</t>
  </si>
  <si>
    <t>SetPrinterIP=172.26.35.241</t>
  </si>
  <si>
    <t>SetPrinterIP=172.26.35.247</t>
  </si>
  <si>
    <t>No1</t>
    <phoneticPr fontId="3" type="noConversion"/>
  </si>
  <si>
    <t>车载制品部</t>
    <phoneticPr fontId="3" type="noConversion"/>
  </si>
  <si>
    <t>生产技术部</t>
    <phoneticPr fontId="3" type="noConversion"/>
  </si>
  <si>
    <t>部品加工部</t>
    <phoneticPr fontId="3" type="noConversion"/>
  </si>
  <si>
    <t>【1-2F】(仓库)</t>
    <phoneticPr fontId="3" type="noConversion"/>
  </si>
  <si>
    <t>CardNum_Xerox</t>
    <phoneticPr fontId="3" type="noConversion"/>
  </si>
  <si>
    <t>SetPrinterCommand=CardNum_Xerox</t>
  </si>
  <si>
    <t>Canon LBP113/913 UFRII LT</t>
    <phoneticPr fontId="3" type="noConversion"/>
  </si>
  <si>
    <t>update=2020.6.16</t>
  </si>
  <si>
    <t>SetPrinterIP=172.26.35.243</t>
  </si>
  <si>
    <t>SetPrinterDrive=Canon LBP113/913 UFRII LT</t>
  </si>
  <si>
    <t>Gestetner IM C3000 PCL 6</t>
  </si>
  <si>
    <t>SetPrinterDrive=Gestetner IM C3000 PCL 6</t>
  </si>
  <si>
    <t>CardNum_Ricoh</t>
    <phoneticPr fontId="3" type="noConversion"/>
  </si>
  <si>
    <t>CardNum_Ricoh</t>
    <phoneticPr fontId="3" type="noConversion"/>
  </si>
  <si>
    <t>SetPrinterCommand=CardNum_Ricoh</t>
  </si>
  <si>
    <t>Automotive PM Dept</t>
    <phoneticPr fontId="3" type="noConversion"/>
  </si>
  <si>
    <t>department=Automotive PM Dept</t>
  </si>
  <si>
    <t>department=R&amp;D Dept</t>
  </si>
  <si>
    <t>department=SD dept</t>
  </si>
  <si>
    <t>department=PE Dept</t>
  </si>
  <si>
    <t>department=MD dept</t>
  </si>
  <si>
    <t>department=QA Dept</t>
  </si>
  <si>
    <t>department=PMD Dept</t>
  </si>
  <si>
    <t>Gestetner IM C3000 PCL 6</t>
    <phoneticPr fontId="3" type="noConversion"/>
  </si>
  <si>
    <t>Mitsumi@11</t>
    <phoneticPr fontId="3" type="noConversion"/>
  </si>
  <si>
    <t>域控器</t>
    <phoneticPr fontId="6" type="noConversion"/>
  </si>
  <si>
    <t>域用户密码</t>
    <phoneticPr fontId="6" type="noConversion"/>
  </si>
  <si>
    <t>域控器</t>
    <phoneticPr fontId="6" type="noConversion"/>
  </si>
  <si>
    <t>Administrator</t>
    <phoneticPr fontId="3" type="noConversion"/>
  </si>
  <si>
    <t>配置文件路径</t>
    <phoneticPr fontId="6" type="noConversion"/>
  </si>
  <si>
    <t>打印机台数</t>
  </si>
  <si>
    <t>更新日</t>
    <phoneticPr fontId="6" type="noConversion"/>
  </si>
  <si>
    <t>EXAS</t>
    <phoneticPr fontId="6" type="noConversion"/>
  </si>
  <si>
    <t>CTE</t>
    <phoneticPr fontId="6" type="noConversion"/>
  </si>
  <si>
    <t>Domain=CTE</t>
  </si>
  <si>
    <t>DomainAdmin=Administrator</t>
  </si>
  <si>
    <t>DomainPassword=Mitsumi@11</t>
  </si>
  <si>
    <t>oldDomain=EXAS</t>
  </si>
  <si>
    <t>disPrinterName=Canon iR-ADV C3520 UFR II (R&amp;D Dept)</t>
  </si>
  <si>
    <t>disPrinterName=HP LaserJet 5100 PCL 6 (R&amp;D Dept)</t>
  </si>
  <si>
    <t>disPrinterName=Canon iR-ADV C3520 UFR II (SD dept)</t>
  </si>
  <si>
    <t>disPrinterName=HP DesignJet T730 (PE Dept)</t>
  </si>
  <si>
    <t>disPrinterName=Gestetner IM C3000 PCL 6 (PE Dept)</t>
  </si>
  <si>
    <t>disPrinterName=Canon LBP6300 (MD dept)</t>
  </si>
  <si>
    <t>disPrinterName=FX DocuCentre-V C2265 PCL 6 (MD dept)</t>
  </si>
  <si>
    <t>disPrinterName=FX ApeosPort-V C3373 T2 PCL 6 (QA Dept)</t>
  </si>
  <si>
    <t>disPrinterName=(生管) HP LaserJet 5100 PCL 6 (PMD Dept)</t>
  </si>
  <si>
    <t>disPrinterName=Gestetner IM C3000 PCL 6 (PMD Dept)</t>
  </si>
  <si>
    <t>disPrinterName=Canon LBP113/913 UFRII LT (PMD Dept)</t>
  </si>
  <si>
    <t>Automotive PM Dept</t>
    <phoneticPr fontId="3" type="noConversion"/>
  </si>
  <si>
    <t>2018.7.9</t>
    <phoneticPr fontId="3" type="noConversion"/>
  </si>
  <si>
    <t>Automotive PM Dept</t>
    <phoneticPr fontId="3" type="noConversion"/>
  </si>
  <si>
    <t>172.26.39.250</t>
    <phoneticPr fontId="3" type="noConversion"/>
  </si>
  <si>
    <t>R&amp;D Dept</t>
    <phoneticPr fontId="3" type="noConversion"/>
  </si>
  <si>
    <t>172.26.39.247</t>
    <phoneticPr fontId="3" type="noConversion"/>
  </si>
  <si>
    <t>R&amp;D Dept</t>
    <phoneticPr fontId="3" type="noConversion"/>
  </si>
  <si>
    <t>172.26.39.248</t>
    <phoneticPr fontId="3" type="noConversion"/>
  </si>
  <si>
    <t>SD dept</t>
    <phoneticPr fontId="3" type="noConversion"/>
  </si>
  <si>
    <t>172.26.37.251</t>
    <phoneticPr fontId="3" type="noConversion"/>
  </si>
  <si>
    <t>PE Dept</t>
    <phoneticPr fontId="3" type="noConversion"/>
  </si>
  <si>
    <t>172.26.36.243</t>
    <phoneticPr fontId="3" type="noConversion"/>
  </si>
  <si>
    <t>MD dept</t>
    <phoneticPr fontId="3" type="noConversion"/>
  </si>
  <si>
    <t>172.26.37.252</t>
    <phoneticPr fontId="3" type="noConversion"/>
  </si>
  <si>
    <t>QA Dept</t>
    <phoneticPr fontId="3" type="noConversion"/>
  </si>
  <si>
    <t>172.26.38.248</t>
    <phoneticPr fontId="3" type="noConversion"/>
  </si>
  <si>
    <t>PMD Dept</t>
    <phoneticPr fontId="3" type="noConversion"/>
  </si>
  <si>
    <t>(生管)</t>
    <phoneticPr fontId="3" type="noConversion"/>
  </si>
  <si>
    <t>172.26.35.241</t>
    <phoneticPr fontId="3" type="noConversion"/>
  </si>
  <si>
    <t>2018.7.9</t>
    <phoneticPr fontId="3" type="noConversion"/>
  </si>
  <si>
    <t>172.26.35.247</t>
    <phoneticPr fontId="3" type="noConversion"/>
  </si>
  <si>
    <t>2020.6.16</t>
    <phoneticPr fontId="3" type="noConversion"/>
  </si>
  <si>
    <t>172.26.35.243</t>
    <phoneticPr fontId="3" type="noConversion"/>
  </si>
  <si>
    <t>172.26.35.246</t>
    <phoneticPr fontId="3" type="noConversion"/>
  </si>
  <si>
    <t>KCTE99</t>
    <phoneticPr fontId="6" type="noConversion"/>
  </si>
  <si>
    <t>kcte99.</t>
    <phoneticPr fontId="6" type="noConversion"/>
  </si>
  <si>
    <t>X64FileName</t>
    <phoneticPr fontId="3" type="noConversion"/>
  </si>
  <si>
    <t>\\172.26.32.251\softwa\print\Driver\HP\LaserJet 5200\x64\</t>
    <phoneticPr fontId="3" type="noConversion"/>
  </si>
  <si>
    <t>hpc520xu.inf</t>
    <phoneticPr fontId="3" type="noConversion"/>
  </si>
  <si>
    <t>\\172.26.32.251\softwa\print\Driver\Xerox\DocuCentre-V C4475 T2\x64\</t>
    <phoneticPr fontId="3" type="noConversion"/>
  </si>
  <si>
    <t>FX6SFAL.inf</t>
    <phoneticPr fontId="3" type="noConversion"/>
  </si>
  <si>
    <t>oemsetup.inf</t>
  </si>
  <si>
    <t>\\172.26.32.251\softwa\print\Driver\HP\hp126nw\x64\</t>
    <phoneticPr fontId="3" type="noConversion"/>
  </si>
  <si>
    <t>hpcm125126.inf</t>
    <phoneticPr fontId="3" type="noConversion"/>
  </si>
  <si>
    <t>\\172.26.32.251\softwa\print\Driver\Canon\C5255\x64\</t>
    <phoneticPr fontId="3" type="noConversion"/>
  </si>
  <si>
    <t>CNLB0CA64.INF</t>
    <phoneticPr fontId="3" type="noConversion"/>
  </si>
  <si>
    <t>\\172.26.32.251\softwa\print\Driver\Canon\iR-ADV C3520\x64\</t>
    <phoneticPr fontId="3" type="noConversion"/>
  </si>
  <si>
    <t>\\172.26.32.251\softwa\print\Driver\HP\LaserJet 5100 Series\x64\</t>
    <phoneticPr fontId="3" type="noConversion"/>
  </si>
  <si>
    <t>hpc5100u.inf</t>
    <phoneticPr fontId="3" type="noConversion"/>
  </si>
  <si>
    <t>\\172.26.32.251\softwa\print\Driver\HP\HP DesignJet T730\x64\</t>
    <phoneticPr fontId="3" type="noConversion"/>
  </si>
  <si>
    <t>hpi5dgax.inf</t>
    <phoneticPr fontId="3" type="noConversion"/>
  </si>
  <si>
    <t>\\172.26.32.251\softwa\print\Driver\Ricoh\IMC3000\IM_C3000_C3500\x64\</t>
    <phoneticPr fontId="3" type="noConversion"/>
  </si>
  <si>
    <t>\\172.26.32.251\softwa\print\Driver\Canon\LBP6300\x64\</t>
    <phoneticPr fontId="3" type="noConversion"/>
  </si>
  <si>
    <t>CNABBSTD.INF</t>
    <phoneticPr fontId="3" type="noConversion"/>
  </si>
  <si>
    <t>FX6MBAL.inf</t>
    <phoneticPr fontId="3" type="noConversion"/>
  </si>
  <si>
    <t>\\172.26.32.251\softwa\print\Driver\Xerox\ApeosPort-V C3373 T2\x64\</t>
    <phoneticPr fontId="3" type="noConversion"/>
  </si>
  <si>
    <t>\\172.26.32.251\softwa\print\Driver\Ricoh\IMC3000\IM_C3000_C3500\x64\</t>
    <phoneticPr fontId="3" type="noConversion"/>
  </si>
  <si>
    <t>oemsetup.inf</t>
    <phoneticPr fontId="3" type="noConversion"/>
  </si>
  <si>
    <t>\\172.26.32.251\softwa\print\Driver\Canon\mf113w\x64\</t>
    <phoneticPr fontId="3" type="noConversion"/>
  </si>
  <si>
    <t>CNLB0CA64.inf</t>
    <phoneticPr fontId="3" type="noConversion"/>
  </si>
  <si>
    <t>hpc520xc.inf</t>
    <phoneticPr fontId="3" type="noConversion"/>
  </si>
  <si>
    <t>\\172.26.32.251\softwa\print\Driver\Xerox\DocuCentre-V C4475 T2\x86\</t>
    <phoneticPr fontId="3" type="noConversion"/>
  </si>
  <si>
    <t>hpcm125126.inf</t>
    <phoneticPr fontId="3" type="noConversion"/>
  </si>
  <si>
    <t>CNLB0C.INF</t>
    <phoneticPr fontId="3" type="noConversion"/>
  </si>
  <si>
    <t>\\172.26.32.251\softwa\print\Driver\Canon\iR-ADV C3520\x86\</t>
    <phoneticPr fontId="3" type="noConversion"/>
  </si>
  <si>
    <t>\\172.26.32.251\softwa\print\Driver\HP\LaserJet 5100 Series\x86\</t>
    <phoneticPr fontId="3" type="noConversion"/>
  </si>
  <si>
    <t>hpc5100c.inf</t>
    <phoneticPr fontId="3" type="noConversion"/>
  </si>
  <si>
    <t>hpi5dgah.inf</t>
    <phoneticPr fontId="3" type="noConversion"/>
  </si>
  <si>
    <t>oemsetup.inf</t>
    <phoneticPr fontId="3" type="noConversion"/>
  </si>
  <si>
    <t>CNABBSTK.INF</t>
    <phoneticPr fontId="3" type="noConversion"/>
  </si>
  <si>
    <t>\\172.26.32.251\softwa\print\Driver\Xerox\DocuCentre-V C2265\x86\</t>
    <phoneticPr fontId="3" type="noConversion"/>
  </si>
  <si>
    <t>\\172.26.32.251\softwa\print\Driver\Ricoh\IMC3000\IM_C3000_C3500\x86\</t>
    <phoneticPr fontId="3" type="noConversion"/>
  </si>
  <si>
    <t>drvPathX64</t>
    <phoneticPr fontId="3" type="noConversion"/>
  </si>
  <si>
    <t>X86FileName</t>
    <phoneticPr fontId="3" type="noConversion"/>
  </si>
  <si>
    <t>\\172.26.32.251\softwa\print\Driver\HP\LaserJet 5200\x86\</t>
    <phoneticPr fontId="3" type="noConversion"/>
  </si>
  <si>
    <t>\\172.26.32.251\softwa\print\Driver\HP\hp126nw\x86\</t>
    <phoneticPr fontId="3" type="noConversion"/>
  </si>
  <si>
    <t>\\172.26.32.251\softwa\print\Driver\Canon\C5255\x86\</t>
    <phoneticPr fontId="3" type="noConversion"/>
  </si>
  <si>
    <t>\\172.26.32.251\softwa\print\Driver\Canon\iR-ADV C3520\x86\</t>
    <phoneticPr fontId="3" type="noConversion"/>
  </si>
  <si>
    <t>\\172.26.32.251\softwa\print\Driver\HP\HP DesignJet T730\x86\</t>
    <phoneticPr fontId="3" type="noConversion"/>
  </si>
  <si>
    <t>\\172.26.32.251\softwa\print\Driver\Canon\LBP6300\x86\</t>
    <phoneticPr fontId="3" type="noConversion"/>
  </si>
  <si>
    <t>\\172.26.32.251\softwa\print\Driver\Xerox\ApeosPort-V C3373 T2\x86\</t>
    <phoneticPr fontId="3" type="noConversion"/>
  </si>
  <si>
    <t>FX6SFAL.inf</t>
    <phoneticPr fontId="3" type="noConversion"/>
  </si>
  <si>
    <t>\\172.26.32.251\softwa\print\Driver\Canon\mf113w\x86\</t>
    <phoneticPr fontId="3" type="noConversion"/>
  </si>
  <si>
    <t>CNLB0C.inf</t>
    <phoneticPr fontId="3" type="noConversion"/>
  </si>
  <si>
    <t>oldDomainAdmin=KCTE99</t>
  </si>
  <si>
    <t>oldDomainPassword=kcte99.</t>
  </si>
  <si>
    <t>drvPathX64=\\172.26.32.251\softwa\print\Driver\HP\LaserJet 5200\x64\</t>
  </si>
  <si>
    <t>X64FileName=hpc520xu.inf</t>
  </si>
  <si>
    <t>drvPathX86=\\172.26.32.251\softwa\print\Driver\HP\LaserJet 5200\x86\</t>
  </si>
  <si>
    <t>drvPathX64=\\172.26.32.251\softwa\print\Driver\Xerox\DocuCentre-V C4475 T2\x64\</t>
  </si>
  <si>
    <t>X64FileName=FX6SFAL.inf</t>
  </si>
  <si>
    <t>drvPathX86=\\172.26.32.251\softwa\print\Driver\Xerox\DocuCentre-V C4475 T2\x86\</t>
  </si>
  <si>
    <t>drvPathX64=\\172.26.32.251\softwa\print\Driver\HP\hp126nw\x64\</t>
  </si>
  <si>
    <t>X64FileName=hpcm125126.inf</t>
  </si>
  <si>
    <t>drvPathX86=\\172.26.32.251\softwa\print\Driver\HP\hp126nw\x86\</t>
  </si>
  <si>
    <t>drvPathX64=\\172.26.32.251\softwa\print\Driver\Canon\C5255\x64\</t>
  </si>
  <si>
    <t>X64FileName=CNLB0CA64.INF</t>
  </si>
  <si>
    <t>drvPathX86=\\172.26.32.251\softwa\print\Driver\Canon\C5255\x86\</t>
  </si>
  <si>
    <t>drvPathX64=\\172.26.32.251\softwa\print\Driver\Canon\iR-ADV C3520\x64\</t>
  </si>
  <si>
    <t>drvPathX86=\\172.26.32.251\softwa\print\Driver\Canon\iR-ADV C3520\x86\</t>
  </si>
  <si>
    <t>drvPathX64=\\172.26.32.251\softwa\print\Driver\HP\LaserJet 5100 Series\x64\</t>
  </si>
  <si>
    <t>X64FileName=hpc5100u.inf</t>
  </si>
  <si>
    <t>drvPathX86=\\172.26.32.251\softwa\print\Driver\HP\LaserJet 5100 Series\x86\</t>
  </si>
  <si>
    <t>drvPathX64=\\172.26.32.251\softwa\print\Driver\HP\HP DesignJet T730\x64\</t>
  </si>
  <si>
    <t>X64FileName=hpi5dgax.inf</t>
  </si>
  <si>
    <t>drvPathX86=\\172.26.32.251\softwa\print\Driver\HP\HP DesignJet T730\x86\</t>
  </si>
  <si>
    <t>drvPathX64=\\172.26.32.251\softwa\print\Driver\Ricoh\IMC3000\IM_C3000_C3500\x64\</t>
  </si>
  <si>
    <t>X64FileName=oemsetup.inf</t>
  </si>
  <si>
    <t>drvPathX86=\\172.26.32.251\softwa\print\Driver\Ricoh\IMC3000\IM_C3000_C3500\x86\</t>
  </si>
  <si>
    <t>drvPathX64=\\172.26.32.251\softwa\print\Driver\Canon\LBP6300\x64\</t>
  </si>
  <si>
    <t>X64FileName=CNABBSTD.INF</t>
  </si>
  <si>
    <t>drvPathX86=\\172.26.32.251\softwa\print\Driver\Canon\LBP6300\x86\</t>
  </si>
  <si>
    <t>drvPathX64=\\172.26.32.251\softwa\print\Driver\Xerox\DocuCentre-V C2265\x64\</t>
  </si>
  <si>
    <t>drvPathX86=\\172.26.32.251\softwa\print\Driver\Xerox\DocuCentre-V C2265\x86\</t>
  </si>
  <si>
    <t>drvPathX64=\\172.26.32.251\softwa\print\Driver\Xerox\ApeosPort-V C3373 T2\x64\</t>
  </si>
  <si>
    <t>drvPathX86=\\172.26.32.251\softwa\print\Driver\Xerox\ApeosPort-V C3373 T2\x86\</t>
  </si>
  <si>
    <t>drvPathX64=\\172.26.32.251\softwa\print\Driver\Canon\mf113w\x64\</t>
  </si>
  <si>
    <t>X64FileName=CNLB0CA64.inf</t>
  </si>
  <si>
    <t>drvPathX86=\\172.26.32.251\softwa\print\Driver\Canon\mf113w\x86\</t>
  </si>
  <si>
    <t>X86FileName=hpc520xc.inf</t>
  </si>
  <si>
    <t>X86FileName=FX6SFAL.inf</t>
  </si>
  <si>
    <t>X86FileName=hpcm125126.inf</t>
  </si>
  <si>
    <t>X86FileName=CNLB0C.INF</t>
  </si>
  <si>
    <t>X86FileName=hpc5100c.inf</t>
  </si>
  <si>
    <t>X86FileName=hpi5dgah.inf</t>
  </si>
  <si>
    <t>X86FileName=oemsetup.inf</t>
  </si>
  <si>
    <t>X86FileName=CNABBSTK.INF</t>
  </si>
  <si>
    <t>X86FileName=CNLB0C.inf</t>
  </si>
  <si>
    <t>注册表路径</t>
    <phoneticPr fontId="6" type="noConversion"/>
  </si>
  <si>
    <t>\\172.26.32.251\softwa\print\Driver\</t>
    <phoneticPr fontId="3" type="noConversion"/>
  </si>
  <si>
    <t>RegAddPort.reg</t>
    <phoneticPr fontId="3" type="noConversion"/>
  </si>
  <si>
    <t>RegFilePath=\\172.26.32.251\softwa\print\Driver\</t>
  </si>
  <si>
    <t>RegFileName=RegAddPort.reg</t>
  </si>
  <si>
    <t>注册表文件名</t>
    <phoneticPr fontId="6" type="noConversion"/>
  </si>
  <si>
    <t>AD Dept</t>
    <phoneticPr fontId="3" type="noConversion"/>
  </si>
  <si>
    <t>department=AD Dept</t>
  </si>
  <si>
    <t>disPrinterName=Gestetner IM C3000 PCL 6 (AD Dept)</t>
  </si>
  <si>
    <t>\\172.26.32.251\softwa\print\Driver\Xerox\DocuCentre-V C2265\x64\</t>
    <phoneticPr fontId="3" type="noConversion"/>
  </si>
  <si>
    <t>X64FileName=FX6MBAL.inf</t>
  </si>
  <si>
    <t>X86FileName=FX6MBAL.inf</t>
  </si>
  <si>
    <t>No18</t>
  </si>
  <si>
    <t>2021.1.26</t>
    <phoneticPr fontId="3" type="noConversion"/>
  </si>
  <si>
    <t>QM Dept</t>
    <phoneticPr fontId="3" type="noConversion"/>
  </si>
  <si>
    <t>172.26.37.248</t>
    <phoneticPr fontId="3" type="noConversion"/>
  </si>
  <si>
    <t>update=2021.1.26</t>
  </si>
  <si>
    <t>department=QM Dept</t>
  </si>
  <si>
    <t>SetPrinterIP=172.26.37.248</t>
  </si>
  <si>
    <t>disPrinterName=Gestetner IM C3000 PCL 6 (QM Dept)</t>
  </si>
  <si>
    <t>[No18]</t>
  </si>
  <si>
    <t>172.26.36.252</t>
    <phoneticPr fontId="3" type="noConversion"/>
  </si>
  <si>
    <t>2021.3.17</t>
    <phoneticPr fontId="3" type="noConversion"/>
  </si>
  <si>
    <t>update=2021.3.17</t>
  </si>
  <si>
    <t>SetPrinterIP=172.26.36.252</t>
  </si>
  <si>
    <t>[No19]</t>
  </si>
  <si>
    <t>172.26.38.246</t>
    <phoneticPr fontId="3" type="noConversion"/>
  </si>
  <si>
    <t>[1-3F]</t>
    <phoneticPr fontId="3" type="noConversion"/>
  </si>
  <si>
    <t>[1-2F]</t>
    <phoneticPr fontId="3" type="noConversion"/>
  </si>
  <si>
    <t>[2-2F]</t>
    <phoneticPr fontId="3" type="noConversion"/>
  </si>
  <si>
    <t>disPrinterName=[1-3F] HP LaserJet 5200 PCL 6 (Automotive PM Dept)</t>
  </si>
  <si>
    <t>disPrinterName=[1-2F] FX DocuCentre-V C4475 T2 PCL 6 (Automotive PM Dept)</t>
  </si>
  <si>
    <t>disPrinterName=[2-2F] HP LaserJet Pro MFP M125-M126 PCLmS (Automotive PM Dept)</t>
  </si>
  <si>
    <t>disPrinterName=[2-2F] Canon iR-ADV C5250/5255 UFR II (Automotive PM Dept)</t>
  </si>
  <si>
    <t>disPrinterName=[1-2F] Gestetner IM C3000 PCL 6 (Automotive PM Dept)</t>
  </si>
  <si>
    <t>update=2021.6</t>
  </si>
  <si>
    <t>[]</t>
  </si>
  <si>
    <t>update=</t>
  </si>
  <si>
    <t>department=</t>
  </si>
  <si>
    <t>SetPrinterIP=</t>
  </si>
  <si>
    <t>SetPrinterDrive=</t>
  </si>
  <si>
    <t>disPrinterName=</t>
  </si>
  <si>
    <t>drvPathX64=</t>
  </si>
  <si>
    <t>X64FileName=</t>
  </si>
  <si>
    <t>drvPathX86=</t>
  </si>
  <si>
    <t>X86FileName=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</si>
</sst>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theme="0"/>
      <name val="微软雅黑"/>
      <family val="2"/>
      <charset val="134"/>
    </font>
    <font>
      <b/>
      <sz val="9"/>
      <color theme="0"/>
      <name val="Microsoft YaHei UI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常规" xfId="0" builtinId="0"/>
    <cellStyle name="常规 3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142875</xdr:rowOff>
        </xdr:from>
        <xdr:to>
          <xdr:col>11</xdr:col>
          <xdr:colOff>1790700</xdr:colOff>
          <xdr:row>2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javascript:;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5"/>
  <sheetViews>
    <sheetView tabSelected="1" zoomScale="85" zoomScaleNormal="85" workbookViewId="0">
      <selection activeCell="K12" sqref="K12"/>
    </sheetView>
  </sheetViews>
  <sheetFormatPr defaultColWidth="9" defaultRowHeight="13.5" x14ac:dyDescent="0.15"/>
  <cols>
    <col min="1" max="1" width="8.75" style="1" customWidth="1"/>
    <col min="2" max="2" width="11" style="5" customWidth="1"/>
    <col min="3" max="4" width="13.75" style="1" customWidth="1"/>
    <col min="5" max="5" width="14.5" style="1" customWidth="1"/>
    <col min="6" max="6" width="16.25" style="1" customWidth="1"/>
    <col min="7" max="7" width="34.5" style="1" customWidth="1"/>
    <col min="8" max="8" width="17.125" style="1" customWidth="1"/>
    <col min="9" max="9" width="49.5" style="1" customWidth="1"/>
    <col min="10" max="10" width="64.5" style="1" customWidth="1"/>
    <col min="11" max="11" width="21.625" style="1" customWidth="1"/>
    <col min="12" max="12" width="51.625" style="1" customWidth="1"/>
    <col min="13" max="13" width="23" style="5" customWidth="1"/>
    <col min="14" max="14" width="16" style="1" customWidth="1"/>
    <col min="15" max="15" width="18.375" style="1" customWidth="1"/>
    <col min="17" max="16384" width="9" style="1"/>
  </cols>
  <sheetData>
    <row r="1" spans="1:16" ht="14.25" x14ac:dyDescent="0.15">
      <c r="B1" s="6" t="s">
        <v>181</v>
      </c>
      <c r="C1" s="7">
        <v>2021.6</v>
      </c>
      <c r="D1" s="6" t="s">
        <v>180</v>
      </c>
      <c r="E1" s="7">
        <f>COUNTA(D7:D72)</f>
        <v>18</v>
      </c>
      <c r="F1" s="6" t="s">
        <v>179</v>
      </c>
      <c r="G1" s="9" t="s">
        <v>104</v>
      </c>
      <c r="H1" s="6" t="s">
        <v>317</v>
      </c>
      <c r="I1" s="9" t="s">
        <v>318</v>
      </c>
      <c r="J1" s="6"/>
      <c r="K1" s="9"/>
    </row>
    <row r="2" spans="1:16" ht="14.25" x14ac:dyDescent="0.15">
      <c r="B2" s="6" t="s">
        <v>175</v>
      </c>
      <c r="C2" s="7" t="s">
        <v>183</v>
      </c>
      <c r="D2" s="6" t="s">
        <v>74</v>
      </c>
      <c r="E2" s="7" t="s">
        <v>178</v>
      </c>
      <c r="F2" s="6" t="s">
        <v>176</v>
      </c>
      <c r="G2" s="7" t="s">
        <v>174</v>
      </c>
      <c r="H2" s="6" t="s">
        <v>322</v>
      </c>
      <c r="I2" s="9" t="s">
        <v>319</v>
      </c>
      <c r="J2" s="6"/>
      <c r="K2" s="9"/>
    </row>
    <row r="3" spans="1:16" ht="14.25" x14ac:dyDescent="0.15">
      <c r="B3" s="6" t="s">
        <v>177</v>
      </c>
      <c r="C3" s="7" t="s">
        <v>182</v>
      </c>
      <c r="D3" s="6" t="s">
        <v>74</v>
      </c>
      <c r="E3" s="7" t="s">
        <v>223</v>
      </c>
      <c r="F3" s="6" t="s">
        <v>176</v>
      </c>
      <c r="G3" s="7" t="s">
        <v>224</v>
      </c>
      <c r="H3" s="6"/>
      <c r="I3" s="9"/>
      <c r="J3" s="6"/>
      <c r="K3" s="9"/>
    </row>
    <row r="6" spans="1:16" s="5" customFormat="1" ht="14.25" x14ac:dyDescent="0.15">
      <c r="A6" s="3" t="s">
        <v>64</v>
      </c>
      <c r="B6" s="3" t="s">
        <v>75</v>
      </c>
      <c r="C6" s="3" t="s">
        <v>76</v>
      </c>
      <c r="D6" s="3" t="s">
        <v>77</v>
      </c>
      <c r="E6" s="3" t="s">
        <v>78</v>
      </c>
      <c r="F6" s="3" t="s">
        <v>102</v>
      </c>
      <c r="G6" s="3" t="s">
        <v>101</v>
      </c>
      <c r="H6" s="3" t="s">
        <v>103</v>
      </c>
      <c r="I6" s="3" t="s">
        <v>98</v>
      </c>
      <c r="J6" s="3" t="s">
        <v>261</v>
      </c>
      <c r="K6" s="3" t="s">
        <v>225</v>
      </c>
      <c r="L6" s="3" t="s">
        <v>100</v>
      </c>
      <c r="M6" s="3" t="s">
        <v>262</v>
      </c>
      <c r="N6" s="3" t="s">
        <v>68</v>
      </c>
      <c r="O6" s="3" t="s">
        <v>65</v>
      </c>
      <c r="P6" s="4"/>
    </row>
    <row r="7" spans="1:16" x14ac:dyDescent="0.15">
      <c r="A7" s="2"/>
      <c r="B7" s="8" t="s">
        <v>149</v>
      </c>
      <c r="C7" s="8" t="s">
        <v>67</v>
      </c>
      <c r="D7" s="8" t="s">
        <v>165</v>
      </c>
      <c r="E7" s="8" t="s">
        <v>344</v>
      </c>
      <c r="F7" s="8" t="s">
        <v>343</v>
      </c>
      <c r="G7" s="2" t="s">
        <v>8</v>
      </c>
      <c r="H7" s="8"/>
      <c r="I7" s="2" t="str">
        <f>E7&amp; " " &amp; G7 &amp; " (" &amp; D7 &amp; ")"</f>
        <v>[1-3F] HP LaserJet 5200 PCL 6 (Automotive PM Dept)</v>
      </c>
      <c r="J7" s="2" t="s">
        <v>226</v>
      </c>
      <c r="K7" s="8" t="s">
        <v>227</v>
      </c>
      <c r="L7" s="2" t="s">
        <v>263</v>
      </c>
      <c r="M7" s="8" t="s">
        <v>249</v>
      </c>
      <c r="N7" s="2"/>
      <c r="O7" s="2"/>
    </row>
    <row r="8" spans="1:16" x14ac:dyDescent="0.15">
      <c r="A8" s="2"/>
      <c r="B8" s="8" t="s">
        <v>80</v>
      </c>
      <c r="C8" s="8" t="s">
        <v>67</v>
      </c>
      <c r="D8" s="8" t="s">
        <v>199</v>
      </c>
      <c r="E8" s="8" t="s">
        <v>345</v>
      </c>
      <c r="F8" s="8" t="s">
        <v>70</v>
      </c>
      <c r="G8" s="2" t="s">
        <v>9</v>
      </c>
      <c r="H8" s="8" t="s">
        <v>154</v>
      </c>
      <c r="I8" s="2" t="str">
        <f t="shared" ref="I8:I25" si="0">E8&amp; " " &amp; G8 &amp; " (" &amp; D8 &amp; ")"</f>
        <v>[1-2F] FX DocuCentre-V C4475 T2 PCL 6 (Automotive PM Dept)</v>
      </c>
      <c r="J8" s="2" t="s">
        <v>228</v>
      </c>
      <c r="K8" s="8" t="s">
        <v>229</v>
      </c>
      <c r="L8" s="2" t="s">
        <v>250</v>
      </c>
      <c r="M8" s="8" t="s">
        <v>229</v>
      </c>
      <c r="N8" s="2"/>
      <c r="O8" s="2"/>
    </row>
    <row r="9" spans="1:16" x14ac:dyDescent="0.15">
      <c r="A9" s="2"/>
      <c r="B9" s="8" t="s">
        <v>81</v>
      </c>
      <c r="C9" s="8" t="s">
        <v>200</v>
      </c>
      <c r="D9" s="8" t="s">
        <v>201</v>
      </c>
      <c r="E9" s="8" t="s">
        <v>346</v>
      </c>
      <c r="F9" s="8" t="s">
        <v>202</v>
      </c>
      <c r="G9" s="2" t="s">
        <v>63</v>
      </c>
      <c r="H9" s="8"/>
      <c r="I9" s="2" t="str">
        <f t="shared" si="0"/>
        <v>[2-2F] HP LaserJet Pro MFP M125-M126 PCLmS (Automotive PM Dept)</v>
      </c>
      <c r="J9" s="2" t="s">
        <v>231</v>
      </c>
      <c r="K9" s="8" t="s">
        <v>232</v>
      </c>
      <c r="L9" s="2" t="s">
        <v>264</v>
      </c>
      <c r="M9" s="8" t="s">
        <v>251</v>
      </c>
      <c r="N9" s="2"/>
      <c r="O9" s="2"/>
    </row>
    <row r="10" spans="1:16" x14ac:dyDescent="0.15">
      <c r="A10" s="2"/>
      <c r="B10" s="8" t="s">
        <v>82</v>
      </c>
      <c r="C10" s="8" t="s">
        <v>67</v>
      </c>
      <c r="D10" s="8" t="s">
        <v>199</v>
      </c>
      <c r="E10" s="8" t="s">
        <v>346</v>
      </c>
      <c r="F10" s="8" t="s">
        <v>71</v>
      </c>
      <c r="G10" s="2" t="s">
        <v>30</v>
      </c>
      <c r="H10" s="8"/>
      <c r="I10" s="2" t="str">
        <f t="shared" si="0"/>
        <v>[2-2F] Canon iR-ADV C5250/5255 UFR II (Automotive PM Dept)</v>
      </c>
      <c r="J10" s="2" t="s">
        <v>233</v>
      </c>
      <c r="K10" s="8" t="s">
        <v>234</v>
      </c>
      <c r="L10" s="2" t="s">
        <v>265</v>
      </c>
      <c r="M10" s="8" t="s">
        <v>252</v>
      </c>
      <c r="N10" s="2"/>
      <c r="O10" s="2" t="s">
        <v>31</v>
      </c>
    </row>
    <row r="11" spans="1:16" x14ac:dyDescent="0.15">
      <c r="A11" s="2"/>
      <c r="B11" s="8" t="s">
        <v>83</v>
      </c>
      <c r="C11" s="8" t="s">
        <v>339</v>
      </c>
      <c r="D11" s="8" t="s">
        <v>199</v>
      </c>
      <c r="E11" s="8" t="s">
        <v>345</v>
      </c>
      <c r="F11" s="8" t="s">
        <v>338</v>
      </c>
      <c r="G11" s="2" t="s">
        <v>160</v>
      </c>
      <c r="H11" s="8" t="s">
        <v>162</v>
      </c>
      <c r="I11" s="2" t="str">
        <f t="shared" si="0"/>
        <v>[1-2F] Gestetner IM C3000 PCL 6 (Automotive PM Dept)</v>
      </c>
      <c r="J11" s="2" t="s">
        <v>240</v>
      </c>
      <c r="K11" s="8" t="s">
        <v>230</v>
      </c>
      <c r="L11" s="2" t="s">
        <v>260</v>
      </c>
      <c r="M11" s="8" t="s">
        <v>246</v>
      </c>
      <c r="N11" s="2"/>
      <c r="O11" s="2"/>
    </row>
    <row r="12" spans="1:16" x14ac:dyDescent="0.15">
      <c r="A12" s="2"/>
      <c r="B12" s="8" t="s">
        <v>84</v>
      </c>
      <c r="C12" s="8" t="s">
        <v>67</v>
      </c>
      <c r="D12" s="8" t="s">
        <v>203</v>
      </c>
      <c r="E12" s="8"/>
      <c r="F12" s="8" t="s">
        <v>204</v>
      </c>
      <c r="G12" s="2" t="s">
        <v>61</v>
      </c>
      <c r="H12" s="8"/>
      <c r="I12" s="2" t="str">
        <f t="shared" si="0"/>
        <v xml:space="preserve"> Canon iR-ADV C3520 UFR II (R&amp;D Dept)</v>
      </c>
      <c r="J12" s="2" t="s">
        <v>235</v>
      </c>
      <c r="K12" s="8" t="s">
        <v>234</v>
      </c>
      <c r="L12" s="2" t="s">
        <v>253</v>
      </c>
      <c r="M12" s="8" t="s">
        <v>252</v>
      </c>
      <c r="N12" s="2"/>
      <c r="O12" s="2" t="s">
        <v>60</v>
      </c>
    </row>
    <row r="13" spans="1:16" x14ac:dyDescent="0.15">
      <c r="A13" s="2"/>
      <c r="B13" s="8" t="s">
        <v>86</v>
      </c>
      <c r="C13" s="8" t="s">
        <v>67</v>
      </c>
      <c r="D13" s="8" t="s">
        <v>205</v>
      </c>
      <c r="E13" s="8"/>
      <c r="F13" s="8" t="s">
        <v>206</v>
      </c>
      <c r="G13" s="2" t="s">
        <v>32</v>
      </c>
      <c r="H13" s="8"/>
      <c r="I13" s="2" t="str">
        <f t="shared" si="0"/>
        <v xml:space="preserve"> HP LaserJet 5100 PCL 6 (R&amp;D Dept)</v>
      </c>
      <c r="J13" s="2" t="s">
        <v>236</v>
      </c>
      <c r="K13" s="8" t="s">
        <v>237</v>
      </c>
      <c r="L13" s="2" t="s">
        <v>254</v>
      </c>
      <c r="M13" s="8" t="s">
        <v>255</v>
      </c>
      <c r="N13" s="2"/>
      <c r="O13" s="2"/>
    </row>
    <row r="14" spans="1:16" x14ac:dyDescent="0.15">
      <c r="A14" s="2"/>
      <c r="B14" s="8" t="s">
        <v>87</v>
      </c>
      <c r="C14" s="8" t="s">
        <v>200</v>
      </c>
      <c r="D14" s="8" t="s">
        <v>207</v>
      </c>
      <c r="E14" s="8"/>
      <c r="F14" s="8" t="s">
        <v>208</v>
      </c>
      <c r="G14" s="2" t="s">
        <v>61</v>
      </c>
      <c r="H14" s="8"/>
      <c r="I14" s="2" t="str">
        <f t="shared" si="0"/>
        <v xml:space="preserve"> Canon iR-ADV C3520 UFR II (SD dept)</v>
      </c>
      <c r="J14" s="2" t="s">
        <v>235</v>
      </c>
      <c r="K14" s="8" t="s">
        <v>234</v>
      </c>
      <c r="L14" s="2" t="s">
        <v>266</v>
      </c>
      <c r="M14" s="8" t="s">
        <v>252</v>
      </c>
      <c r="N14" s="2"/>
      <c r="O14" s="2" t="s">
        <v>60</v>
      </c>
    </row>
    <row r="15" spans="1:16" x14ac:dyDescent="0.15">
      <c r="A15" s="2"/>
      <c r="B15" s="8" t="s">
        <v>88</v>
      </c>
      <c r="C15" s="8" t="s">
        <v>67</v>
      </c>
      <c r="D15" s="8" t="s">
        <v>209</v>
      </c>
      <c r="E15" s="8"/>
      <c r="F15" s="8" t="s">
        <v>210</v>
      </c>
      <c r="G15" s="2" t="s">
        <v>73</v>
      </c>
      <c r="H15" s="8"/>
      <c r="I15" s="2" t="str">
        <f t="shared" si="0"/>
        <v xml:space="preserve"> HP DesignJet T730 (PE Dept)</v>
      </c>
      <c r="J15" s="2" t="s">
        <v>238</v>
      </c>
      <c r="K15" s="8" t="s">
        <v>239</v>
      </c>
      <c r="L15" s="2" t="s">
        <v>267</v>
      </c>
      <c r="M15" s="8" t="s">
        <v>256</v>
      </c>
      <c r="N15" s="2"/>
      <c r="O15" s="2"/>
    </row>
    <row r="16" spans="1:16" x14ac:dyDescent="0.15">
      <c r="A16" s="2"/>
      <c r="B16" s="8" t="s">
        <v>89</v>
      </c>
      <c r="C16" s="8" t="s">
        <v>67</v>
      </c>
      <c r="D16" s="8" t="s">
        <v>209</v>
      </c>
      <c r="E16" s="8"/>
      <c r="F16" s="8" t="s">
        <v>72</v>
      </c>
      <c r="G16" s="2" t="s">
        <v>160</v>
      </c>
      <c r="H16" s="8" t="s">
        <v>162</v>
      </c>
      <c r="I16" s="2" t="str">
        <f t="shared" si="0"/>
        <v xml:space="preserve"> Gestetner IM C3000 PCL 6 (PE Dept)</v>
      </c>
      <c r="J16" s="2" t="s">
        <v>240</v>
      </c>
      <c r="K16" s="8" t="s">
        <v>230</v>
      </c>
      <c r="L16" s="2" t="s">
        <v>260</v>
      </c>
      <c r="M16" s="8" t="s">
        <v>257</v>
      </c>
      <c r="N16" s="2"/>
      <c r="O16" s="2" t="s">
        <v>69</v>
      </c>
    </row>
    <row r="17" spans="1:15" x14ac:dyDescent="0.15">
      <c r="A17" s="2"/>
      <c r="B17" s="8" t="s">
        <v>90</v>
      </c>
      <c r="C17" s="8" t="s">
        <v>67</v>
      </c>
      <c r="D17" s="8" t="s">
        <v>211</v>
      </c>
      <c r="E17" s="8"/>
      <c r="F17" s="8" t="s">
        <v>212</v>
      </c>
      <c r="G17" s="2" t="s">
        <v>48</v>
      </c>
      <c r="H17" s="8"/>
      <c r="I17" s="2" t="str">
        <f t="shared" si="0"/>
        <v xml:space="preserve"> Canon LBP6300 (MD dept)</v>
      </c>
      <c r="J17" s="2" t="s">
        <v>241</v>
      </c>
      <c r="K17" s="8" t="s">
        <v>242</v>
      </c>
      <c r="L17" s="2" t="s">
        <v>268</v>
      </c>
      <c r="M17" s="8" t="s">
        <v>258</v>
      </c>
      <c r="N17" s="2"/>
      <c r="O17" s="2"/>
    </row>
    <row r="18" spans="1:15" x14ac:dyDescent="0.15">
      <c r="A18" s="2"/>
      <c r="B18" s="8" t="s">
        <v>91</v>
      </c>
      <c r="C18" s="8" t="s">
        <v>67</v>
      </c>
      <c r="D18" s="8" t="s">
        <v>211</v>
      </c>
      <c r="E18" s="8"/>
      <c r="F18" s="8" t="s">
        <v>58</v>
      </c>
      <c r="G18" s="2" t="s">
        <v>59</v>
      </c>
      <c r="H18" s="8" t="s">
        <v>154</v>
      </c>
      <c r="I18" s="2" t="str">
        <f t="shared" si="0"/>
        <v xml:space="preserve"> FX DocuCentre-V C2265 PCL 6 (MD dept)</v>
      </c>
      <c r="J18" s="2" t="s">
        <v>326</v>
      </c>
      <c r="K18" s="8" t="s">
        <v>243</v>
      </c>
      <c r="L18" s="2" t="s">
        <v>259</v>
      </c>
      <c r="M18" s="8" t="s">
        <v>243</v>
      </c>
      <c r="N18" s="2"/>
      <c r="O18" s="2" t="s">
        <v>69</v>
      </c>
    </row>
    <row r="19" spans="1:15" x14ac:dyDescent="0.15">
      <c r="A19" s="2"/>
      <c r="B19" s="8" t="s">
        <v>92</v>
      </c>
      <c r="C19" s="8" t="s">
        <v>218</v>
      </c>
      <c r="D19" s="8" t="s">
        <v>323</v>
      </c>
      <c r="E19" s="8"/>
      <c r="F19" s="8" t="s">
        <v>222</v>
      </c>
      <c r="G19" s="2" t="s">
        <v>160</v>
      </c>
      <c r="H19" s="8" t="s">
        <v>162</v>
      </c>
      <c r="I19" s="2" t="str">
        <f>E19&amp; " " &amp; G19 &amp; " (" &amp; D19 &amp; ")"</f>
        <v xml:space="preserve"> Gestetner IM C3000 PCL 6 (AD Dept)</v>
      </c>
      <c r="J19" s="2" t="s">
        <v>245</v>
      </c>
      <c r="K19" s="8" t="s">
        <v>230</v>
      </c>
      <c r="L19" s="2" t="s">
        <v>260</v>
      </c>
      <c r="M19" s="8" t="s">
        <v>257</v>
      </c>
      <c r="N19" s="2"/>
      <c r="O19" s="2" t="s">
        <v>69</v>
      </c>
    </row>
    <row r="20" spans="1:15" x14ac:dyDescent="0.15">
      <c r="A20" s="2"/>
      <c r="B20" s="8" t="s">
        <v>93</v>
      </c>
      <c r="C20" s="8" t="s">
        <v>67</v>
      </c>
      <c r="D20" s="8" t="s">
        <v>213</v>
      </c>
      <c r="E20" s="8"/>
      <c r="F20" s="8" t="s">
        <v>214</v>
      </c>
      <c r="G20" s="2" t="s">
        <v>41</v>
      </c>
      <c r="H20" s="8" t="s">
        <v>154</v>
      </c>
      <c r="I20" s="2" t="str">
        <f t="shared" si="0"/>
        <v xml:space="preserve"> FX ApeosPort-V C3373 T2 PCL 6 (QA Dept)</v>
      </c>
      <c r="J20" s="2" t="s">
        <v>244</v>
      </c>
      <c r="K20" s="8" t="s">
        <v>229</v>
      </c>
      <c r="L20" s="2" t="s">
        <v>269</v>
      </c>
      <c r="M20" s="8" t="s">
        <v>270</v>
      </c>
      <c r="N20" s="2"/>
      <c r="O20" s="2" t="s">
        <v>69</v>
      </c>
    </row>
    <row r="21" spans="1:15" x14ac:dyDescent="0.15">
      <c r="A21" s="2"/>
      <c r="B21" s="8" t="s">
        <v>94</v>
      </c>
      <c r="C21" s="8" t="s">
        <v>330</v>
      </c>
      <c r="D21" s="8" t="s">
        <v>331</v>
      </c>
      <c r="E21" s="8"/>
      <c r="F21" s="8" t="s">
        <v>332</v>
      </c>
      <c r="G21" s="2" t="s">
        <v>160</v>
      </c>
      <c r="H21" s="8" t="s">
        <v>162</v>
      </c>
      <c r="I21" s="2" t="str">
        <f t="shared" si="0"/>
        <v xml:space="preserve"> Gestetner IM C3000 PCL 6 (QM Dept)</v>
      </c>
      <c r="J21" s="2" t="s">
        <v>240</v>
      </c>
      <c r="K21" s="8" t="s">
        <v>230</v>
      </c>
      <c r="L21" s="2" t="s">
        <v>260</v>
      </c>
      <c r="M21" s="8" t="s">
        <v>246</v>
      </c>
      <c r="N21" s="2"/>
      <c r="O21" s="2"/>
    </row>
    <row r="22" spans="1:15" x14ac:dyDescent="0.15">
      <c r="A22" s="2"/>
      <c r="B22" s="8" t="s">
        <v>95</v>
      </c>
      <c r="C22" s="8" t="s">
        <v>67</v>
      </c>
      <c r="D22" s="8" t="s">
        <v>215</v>
      </c>
      <c r="E22" s="8" t="s">
        <v>216</v>
      </c>
      <c r="F22" s="8" t="s">
        <v>217</v>
      </c>
      <c r="G22" s="2" t="s">
        <v>32</v>
      </c>
      <c r="H22" s="8"/>
      <c r="I22" s="2" t="str">
        <f t="shared" si="0"/>
        <v>(生管) HP LaserJet 5100 PCL 6 (PMD Dept)</v>
      </c>
      <c r="J22" s="2" t="s">
        <v>236</v>
      </c>
      <c r="K22" s="8" t="s">
        <v>237</v>
      </c>
      <c r="L22" s="2" t="s">
        <v>254</v>
      </c>
      <c r="M22" s="8" t="s">
        <v>255</v>
      </c>
      <c r="N22" s="2"/>
      <c r="O22" s="2"/>
    </row>
    <row r="23" spans="1:15" x14ac:dyDescent="0.15">
      <c r="A23" s="2"/>
      <c r="B23" s="8" t="s">
        <v>329</v>
      </c>
      <c r="C23" s="8" t="s">
        <v>218</v>
      </c>
      <c r="D23" s="8" t="s">
        <v>215</v>
      </c>
      <c r="E23" s="8"/>
      <c r="F23" s="8" t="s">
        <v>219</v>
      </c>
      <c r="G23" s="2" t="s">
        <v>173</v>
      </c>
      <c r="H23" s="8" t="s">
        <v>163</v>
      </c>
      <c r="I23" s="2" t="str">
        <f t="shared" si="0"/>
        <v xml:space="preserve"> Gestetner IM C3000 PCL 6 (PMD Dept)</v>
      </c>
      <c r="J23" s="2" t="s">
        <v>245</v>
      </c>
      <c r="K23" s="8" t="s">
        <v>246</v>
      </c>
      <c r="L23" s="2" t="s">
        <v>260</v>
      </c>
      <c r="M23" s="8" t="s">
        <v>257</v>
      </c>
      <c r="N23" s="2"/>
      <c r="O23" s="2" t="s">
        <v>69</v>
      </c>
    </row>
    <row r="24" spans="1:15" x14ac:dyDescent="0.15">
      <c r="A24" s="2"/>
      <c r="B24" s="8"/>
      <c r="C24" s="8"/>
      <c r="D24" s="8"/>
      <c r="E24" s="8"/>
      <c r="F24" s="8"/>
      <c r="G24" s="2"/>
      <c r="H24" s="8"/>
      <c r="I24" s="2"/>
      <c r="J24" s="2"/>
      <c r="K24" s="8"/>
      <c r="L24" s="2"/>
      <c r="M24" s="8"/>
      <c r="N24" s="2"/>
      <c r="O24" s="2"/>
    </row>
    <row r="25" spans="1:15" x14ac:dyDescent="0.15">
      <c r="A25" s="2"/>
      <c r="B25" s="8" t="s">
        <v>96</v>
      </c>
      <c r="C25" s="8" t="s">
        <v>220</v>
      </c>
      <c r="D25" s="8" t="s">
        <v>215</v>
      </c>
      <c r="E25" s="8"/>
      <c r="F25" s="8" t="s">
        <v>221</v>
      </c>
      <c r="G25" s="2" t="s">
        <v>156</v>
      </c>
      <c r="H25" s="8"/>
      <c r="I25" s="2" t="str">
        <f t="shared" si="0"/>
        <v xml:space="preserve"> Canon LBP113/913 UFRII LT (PMD Dept)</v>
      </c>
      <c r="J25" s="2" t="s">
        <v>247</v>
      </c>
      <c r="K25" s="8" t="s">
        <v>248</v>
      </c>
      <c r="L25" s="2" t="s">
        <v>271</v>
      </c>
      <c r="M25" s="8" t="s">
        <v>272</v>
      </c>
      <c r="N25" s="2"/>
      <c r="O25" s="2"/>
    </row>
  </sheetData>
  <phoneticPr fontId="3" type="noConversion"/>
  <hyperlinks>
    <hyperlink ref="D19" r:id="rId1" display="javascript:;"/>
  </hyperlinks>
  <pageMargins left="0.69930555555555596" right="0.69930555555555596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11</xdr:col>
                <xdr:colOff>523875</xdr:colOff>
                <xdr:row>0</xdr:row>
                <xdr:rowOff>142875</xdr:rowOff>
              </from>
              <to>
                <xdr:col>11</xdr:col>
                <xdr:colOff>1790700</xdr:colOff>
                <xdr:row>2</xdr:row>
                <xdr:rowOff>142875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9"/>
  <sheetViews>
    <sheetView zoomScale="70" zoomScaleNormal="70" workbookViewId="0">
      <selection activeCell="A385" sqref="A385"/>
    </sheetView>
  </sheetViews>
  <sheetFormatPr defaultRowHeight="13.5" x14ac:dyDescent="0.15"/>
  <sheetData>
    <row r="1" spans="1:1" x14ac:dyDescent="0.15">
      <c r="A1" t="s">
        <v>105</v>
      </c>
    </row>
    <row r="2" spans="1:1" x14ac:dyDescent="0.15">
      <c r="A2" t="s">
        <v>352</v>
      </c>
    </row>
    <row r="3" spans="1:1" x14ac:dyDescent="0.15">
      <c r="A3" t="s">
        <v>184</v>
      </c>
    </row>
    <row r="4" spans="1:1" x14ac:dyDescent="0.15">
      <c r="A4" t="s">
        <v>185</v>
      </c>
    </row>
    <row r="5" spans="1:1" x14ac:dyDescent="0.15">
      <c r="A5" t="s">
        <v>186</v>
      </c>
    </row>
    <row r="6" spans="1:1" x14ac:dyDescent="0.15">
      <c r="A6" t="s">
        <v>187</v>
      </c>
    </row>
    <row r="7" spans="1:1" x14ac:dyDescent="0.15">
      <c r="A7" t="s">
        <v>273</v>
      </c>
    </row>
    <row r="8" spans="1:1" x14ac:dyDescent="0.15">
      <c r="A8" t="s">
        <v>274</v>
      </c>
    </row>
    <row r="9" spans="1:1" x14ac:dyDescent="0.15">
      <c r="A9" t="s">
        <v>320</v>
      </c>
    </row>
    <row r="10" spans="1:1" x14ac:dyDescent="0.15">
      <c r="A10" t="s">
        <v>321</v>
      </c>
    </row>
    <row r="11" spans="1:1" x14ac:dyDescent="0.15">
      <c r="A11" t="s">
        <v>109</v>
      </c>
    </row>
    <row r="12" spans="1:1" x14ac:dyDescent="0.15">
      <c r="A12" t="s">
        <v>106</v>
      </c>
    </row>
    <row r="13" spans="1:1" x14ac:dyDescent="0.15">
      <c r="A13" t="s">
        <v>166</v>
      </c>
    </row>
    <row r="14" spans="1:1" x14ac:dyDescent="0.15">
      <c r="A14" t="s">
        <v>112</v>
      </c>
    </row>
    <row r="15" spans="1:1" x14ac:dyDescent="0.15">
      <c r="A15" t="s">
        <v>113</v>
      </c>
    </row>
    <row r="16" spans="1:1" x14ac:dyDescent="0.15">
      <c r="A16" t="s">
        <v>110</v>
      </c>
    </row>
    <row r="17" spans="1:1" x14ac:dyDescent="0.15">
      <c r="A17" t="s">
        <v>347</v>
      </c>
    </row>
    <row r="18" spans="1:1" x14ac:dyDescent="0.15">
      <c r="A18" t="s">
        <v>275</v>
      </c>
    </row>
    <row r="19" spans="1:1" x14ac:dyDescent="0.15">
      <c r="A19" t="s">
        <v>276</v>
      </c>
    </row>
    <row r="20" spans="1:1" x14ac:dyDescent="0.15">
      <c r="A20" t="s">
        <v>277</v>
      </c>
    </row>
    <row r="21" spans="1:1" x14ac:dyDescent="0.15">
      <c r="A21" t="s">
        <v>308</v>
      </c>
    </row>
    <row r="22" spans="1:1" x14ac:dyDescent="0.15">
      <c r="A22" t="s">
        <v>111</v>
      </c>
    </row>
    <row r="23" spans="1:1" x14ac:dyDescent="0.15">
      <c r="A23" t="s">
        <v>106</v>
      </c>
    </row>
    <row r="24" spans="1:1" x14ac:dyDescent="0.15">
      <c r="A24" t="s">
        <v>166</v>
      </c>
    </row>
    <row r="25" spans="1:1" x14ac:dyDescent="0.15">
      <c r="A25" t="s">
        <v>115</v>
      </c>
    </row>
    <row r="26" spans="1:1" x14ac:dyDescent="0.15">
      <c r="A26" t="s">
        <v>116</v>
      </c>
    </row>
    <row r="27" spans="1:1" x14ac:dyDescent="0.15">
      <c r="A27" t="s">
        <v>155</v>
      </c>
    </row>
    <row r="28" spans="1:1" x14ac:dyDescent="0.15">
      <c r="A28" t="s">
        <v>348</v>
      </c>
    </row>
    <row r="29" spans="1:1" x14ac:dyDescent="0.15">
      <c r="A29" t="s">
        <v>278</v>
      </c>
    </row>
    <row r="30" spans="1:1" x14ac:dyDescent="0.15">
      <c r="A30" t="s">
        <v>279</v>
      </c>
    </row>
    <row r="31" spans="1:1" x14ac:dyDescent="0.15">
      <c r="A31" t="s">
        <v>280</v>
      </c>
    </row>
    <row r="32" spans="1:1" x14ac:dyDescent="0.15">
      <c r="A32" t="s">
        <v>309</v>
      </c>
    </row>
    <row r="33" spans="1:1" x14ac:dyDescent="0.15">
      <c r="A33" t="s">
        <v>114</v>
      </c>
    </row>
    <row r="34" spans="1:1" x14ac:dyDescent="0.15">
      <c r="A34" t="s">
        <v>106</v>
      </c>
    </row>
    <row r="35" spans="1:1" x14ac:dyDescent="0.15">
      <c r="A35" t="s">
        <v>166</v>
      </c>
    </row>
    <row r="36" spans="1:1" x14ac:dyDescent="0.15">
      <c r="A36" t="s">
        <v>119</v>
      </c>
    </row>
    <row r="37" spans="1:1" x14ac:dyDescent="0.15">
      <c r="A37" t="s">
        <v>120</v>
      </c>
    </row>
    <row r="38" spans="1:1" x14ac:dyDescent="0.15">
      <c r="A38" t="s">
        <v>110</v>
      </c>
    </row>
    <row r="39" spans="1:1" x14ac:dyDescent="0.15">
      <c r="A39" t="s">
        <v>349</v>
      </c>
    </row>
    <row r="40" spans="1:1" x14ac:dyDescent="0.15">
      <c r="A40" t="s">
        <v>281</v>
      </c>
    </row>
    <row r="41" spans="1:1" x14ac:dyDescent="0.15">
      <c r="A41" t="s">
        <v>282</v>
      </c>
    </row>
    <row r="42" spans="1:1" x14ac:dyDescent="0.15">
      <c r="A42" t="s">
        <v>283</v>
      </c>
    </row>
    <row r="43" spans="1:1" x14ac:dyDescent="0.15">
      <c r="A43" t="s">
        <v>310</v>
      </c>
    </row>
    <row r="44" spans="1:1" x14ac:dyDescent="0.15">
      <c r="A44" t="s">
        <v>117</v>
      </c>
    </row>
    <row r="45" spans="1:1" x14ac:dyDescent="0.15">
      <c r="A45" t="s">
        <v>106</v>
      </c>
    </row>
    <row r="46" spans="1:1" x14ac:dyDescent="0.15">
      <c r="A46" t="s">
        <v>166</v>
      </c>
    </row>
    <row r="47" spans="1:1" x14ac:dyDescent="0.15">
      <c r="A47" t="s">
        <v>126</v>
      </c>
    </row>
    <row r="48" spans="1:1" x14ac:dyDescent="0.15">
      <c r="A48" t="s">
        <v>127</v>
      </c>
    </row>
    <row r="49" spans="1:1" x14ac:dyDescent="0.15">
      <c r="A49" t="s">
        <v>110</v>
      </c>
    </row>
    <row r="50" spans="1:1" x14ac:dyDescent="0.15">
      <c r="A50" t="s">
        <v>350</v>
      </c>
    </row>
    <row r="51" spans="1:1" x14ac:dyDescent="0.15">
      <c r="A51" t="s">
        <v>284</v>
      </c>
    </row>
    <row r="52" spans="1:1" x14ac:dyDescent="0.15">
      <c r="A52" t="s">
        <v>285</v>
      </c>
    </row>
    <row r="53" spans="1:1" x14ac:dyDescent="0.15">
      <c r="A53" t="s">
        <v>286</v>
      </c>
    </row>
    <row r="54" spans="1:1" x14ac:dyDescent="0.15">
      <c r="A54" t="s">
        <v>311</v>
      </c>
    </row>
    <row r="55" spans="1:1" x14ac:dyDescent="0.15">
      <c r="A55" t="s">
        <v>118</v>
      </c>
    </row>
    <row r="56" spans="1:1" x14ac:dyDescent="0.15">
      <c r="A56" t="s">
        <v>340</v>
      </c>
    </row>
    <row r="57" spans="1:1" x14ac:dyDescent="0.15">
      <c r="A57" t="s">
        <v>166</v>
      </c>
    </row>
    <row r="58" spans="1:1" x14ac:dyDescent="0.15">
      <c r="A58" t="s">
        <v>341</v>
      </c>
    </row>
    <row r="59" spans="1:1" x14ac:dyDescent="0.15">
      <c r="A59" t="s">
        <v>161</v>
      </c>
    </row>
    <row r="60" spans="1:1" x14ac:dyDescent="0.15">
      <c r="A60" t="s">
        <v>164</v>
      </c>
    </row>
    <row r="61" spans="1:1" x14ac:dyDescent="0.15">
      <c r="A61" t="s">
        <v>351</v>
      </c>
    </row>
    <row r="62" spans="1:1" x14ac:dyDescent="0.15">
      <c r="A62" t="s">
        <v>295</v>
      </c>
    </row>
    <row r="63" spans="1:1" x14ac:dyDescent="0.15">
      <c r="A63" t="s">
        <v>296</v>
      </c>
    </row>
    <row r="64" spans="1:1" x14ac:dyDescent="0.15">
      <c r="A64" t="s">
        <v>297</v>
      </c>
    </row>
    <row r="65" spans="1:1" x14ac:dyDescent="0.15">
      <c r="A65" t="s">
        <v>314</v>
      </c>
    </row>
    <row r="66" spans="1:1" x14ac:dyDescent="0.15">
      <c r="A66" t="s">
        <v>121</v>
      </c>
    </row>
    <row r="67" spans="1:1" x14ac:dyDescent="0.15">
      <c r="A67" t="s">
        <v>106</v>
      </c>
    </row>
    <row r="68" spans="1:1" x14ac:dyDescent="0.15">
      <c r="A68" t="s">
        <v>167</v>
      </c>
    </row>
    <row r="69" spans="1:1" x14ac:dyDescent="0.15">
      <c r="A69" t="s">
        <v>131</v>
      </c>
    </row>
    <row r="70" spans="1:1" x14ac:dyDescent="0.15">
      <c r="A70" t="s">
        <v>129</v>
      </c>
    </row>
    <row r="71" spans="1:1" x14ac:dyDescent="0.15">
      <c r="A71" t="s">
        <v>110</v>
      </c>
    </row>
    <row r="72" spans="1:1" x14ac:dyDescent="0.15">
      <c r="A72" t="s">
        <v>188</v>
      </c>
    </row>
    <row r="73" spans="1:1" x14ac:dyDescent="0.15">
      <c r="A73" t="s">
        <v>287</v>
      </c>
    </row>
    <row r="74" spans="1:1" x14ac:dyDescent="0.15">
      <c r="A74" t="s">
        <v>285</v>
      </c>
    </row>
    <row r="75" spans="1:1" x14ac:dyDescent="0.15">
      <c r="A75" t="s">
        <v>288</v>
      </c>
    </row>
    <row r="76" spans="1:1" x14ac:dyDescent="0.15">
      <c r="A76" t="s">
        <v>311</v>
      </c>
    </row>
    <row r="77" spans="1:1" x14ac:dyDescent="0.15">
      <c r="A77" t="s">
        <v>122</v>
      </c>
    </row>
    <row r="78" spans="1:1" x14ac:dyDescent="0.15">
      <c r="A78" t="s">
        <v>106</v>
      </c>
    </row>
    <row r="79" spans="1:1" x14ac:dyDescent="0.15">
      <c r="A79" t="s">
        <v>167</v>
      </c>
    </row>
    <row r="80" spans="1:1" x14ac:dyDescent="0.15">
      <c r="A80" t="s">
        <v>133</v>
      </c>
    </row>
    <row r="81" spans="1:1" x14ac:dyDescent="0.15">
      <c r="A81" t="s">
        <v>134</v>
      </c>
    </row>
    <row r="82" spans="1:1" x14ac:dyDescent="0.15">
      <c r="A82" t="s">
        <v>110</v>
      </c>
    </row>
    <row r="83" spans="1:1" x14ac:dyDescent="0.15">
      <c r="A83" t="s">
        <v>189</v>
      </c>
    </row>
    <row r="84" spans="1:1" x14ac:dyDescent="0.15">
      <c r="A84" t="s">
        <v>289</v>
      </c>
    </row>
    <row r="85" spans="1:1" x14ac:dyDescent="0.15">
      <c r="A85" t="s">
        <v>290</v>
      </c>
    </row>
    <row r="86" spans="1:1" x14ac:dyDescent="0.15">
      <c r="A86" t="s">
        <v>291</v>
      </c>
    </row>
    <row r="87" spans="1:1" x14ac:dyDescent="0.15">
      <c r="A87" t="s">
        <v>312</v>
      </c>
    </row>
    <row r="88" spans="1:1" x14ac:dyDescent="0.15">
      <c r="A88" t="s">
        <v>123</v>
      </c>
    </row>
    <row r="89" spans="1:1" x14ac:dyDescent="0.15">
      <c r="A89" t="s">
        <v>106</v>
      </c>
    </row>
    <row r="90" spans="1:1" x14ac:dyDescent="0.15">
      <c r="A90" t="s">
        <v>168</v>
      </c>
    </row>
    <row r="91" spans="1:1" x14ac:dyDescent="0.15">
      <c r="A91" t="s">
        <v>136</v>
      </c>
    </row>
    <row r="92" spans="1:1" x14ac:dyDescent="0.15">
      <c r="A92" t="s">
        <v>129</v>
      </c>
    </row>
    <row r="93" spans="1:1" x14ac:dyDescent="0.15">
      <c r="A93" t="s">
        <v>110</v>
      </c>
    </row>
    <row r="94" spans="1:1" x14ac:dyDescent="0.15">
      <c r="A94" t="s">
        <v>190</v>
      </c>
    </row>
    <row r="95" spans="1:1" x14ac:dyDescent="0.15">
      <c r="A95" t="s">
        <v>287</v>
      </c>
    </row>
    <row r="96" spans="1:1" x14ac:dyDescent="0.15">
      <c r="A96" t="s">
        <v>285</v>
      </c>
    </row>
    <row r="97" spans="1:1" x14ac:dyDescent="0.15">
      <c r="A97" t="s">
        <v>288</v>
      </c>
    </row>
    <row r="98" spans="1:1" x14ac:dyDescent="0.15">
      <c r="A98" t="s">
        <v>311</v>
      </c>
    </row>
    <row r="99" spans="1:1" x14ac:dyDescent="0.15">
      <c r="A99" t="s">
        <v>124</v>
      </c>
    </row>
    <row r="100" spans="1:1" x14ac:dyDescent="0.15">
      <c r="A100" t="s">
        <v>106</v>
      </c>
    </row>
    <row r="101" spans="1:1" x14ac:dyDescent="0.15">
      <c r="A101" t="s">
        <v>169</v>
      </c>
    </row>
    <row r="102" spans="1:1" x14ac:dyDescent="0.15">
      <c r="A102" t="s">
        <v>139</v>
      </c>
    </row>
    <row r="103" spans="1:1" x14ac:dyDescent="0.15">
      <c r="A103" t="s">
        <v>140</v>
      </c>
    </row>
    <row r="104" spans="1:1" x14ac:dyDescent="0.15">
      <c r="A104" t="s">
        <v>110</v>
      </c>
    </row>
    <row r="105" spans="1:1" x14ac:dyDescent="0.15">
      <c r="A105" t="s">
        <v>191</v>
      </c>
    </row>
    <row r="106" spans="1:1" x14ac:dyDescent="0.15">
      <c r="A106" t="s">
        <v>292</v>
      </c>
    </row>
    <row r="107" spans="1:1" x14ac:dyDescent="0.15">
      <c r="A107" t="s">
        <v>293</v>
      </c>
    </row>
    <row r="108" spans="1:1" x14ac:dyDescent="0.15">
      <c r="A108" t="s">
        <v>294</v>
      </c>
    </row>
    <row r="109" spans="1:1" x14ac:dyDescent="0.15">
      <c r="A109" t="s">
        <v>313</v>
      </c>
    </row>
    <row r="110" spans="1:1" x14ac:dyDescent="0.15">
      <c r="A110" t="s">
        <v>125</v>
      </c>
    </row>
    <row r="111" spans="1:1" x14ac:dyDescent="0.15">
      <c r="A111" t="s">
        <v>106</v>
      </c>
    </row>
    <row r="112" spans="1:1" x14ac:dyDescent="0.15">
      <c r="A112" t="s">
        <v>169</v>
      </c>
    </row>
    <row r="113" spans="1:1" x14ac:dyDescent="0.15">
      <c r="A113" t="s">
        <v>141</v>
      </c>
    </row>
    <row r="114" spans="1:1" x14ac:dyDescent="0.15">
      <c r="A114" t="s">
        <v>161</v>
      </c>
    </row>
    <row r="115" spans="1:1" x14ac:dyDescent="0.15">
      <c r="A115" t="s">
        <v>164</v>
      </c>
    </row>
    <row r="116" spans="1:1" x14ac:dyDescent="0.15">
      <c r="A116" t="s">
        <v>192</v>
      </c>
    </row>
    <row r="117" spans="1:1" x14ac:dyDescent="0.15">
      <c r="A117" t="s">
        <v>295</v>
      </c>
    </row>
    <row r="118" spans="1:1" x14ac:dyDescent="0.15">
      <c r="A118" t="s">
        <v>296</v>
      </c>
    </row>
    <row r="119" spans="1:1" x14ac:dyDescent="0.15">
      <c r="A119" t="s">
        <v>297</v>
      </c>
    </row>
    <row r="120" spans="1:1" x14ac:dyDescent="0.15">
      <c r="A120" t="s">
        <v>314</v>
      </c>
    </row>
    <row r="121" spans="1:1" x14ac:dyDescent="0.15">
      <c r="A121" t="s">
        <v>128</v>
      </c>
    </row>
    <row r="122" spans="1:1" x14ac:dyDescent="0.15">
      <c r="A122" t="s">
        <v>106</v>
      </c>
    </row>
    <row r="123" spans="1:1" x14ac:dyDescent="0.15">
      <c r="A123" t="s">
        <v>170</v>
      </c>
    </row>
    <row r="124" spans="1:1" x14ac:dyDescent="0.15">
      <c r="A124" t="s">
        <v>142</v>
      </c>
    </row>
    <row r="125" spans="1:1" x14ac:dyDescent="0.15">
      <c r="A125" t="s">
        <v>143</v>
      </c>
    </row>
    <row r="126" spans="1:1" x14ac:dyDescent="0.15">
      <c r="A126" t="s">
        <v>110</v>
      </c>
    </row>
    <row r="127" spans="1:1" x14ac:dyDescent="0.15">
      <c r="A127" t="s">
        <v>193</v>
      </c>
    </row>
    <row r="128" spans="1:1" x14ac:dyDescent="0.15">
      <c r="A128" t="s">
        <v>298</v>
      </c>
    </row>
    <row r="129" spans="1:1" x14ac:dyDescent="0.15">
      <c r="A129" t="s">
        <v>299</v>
      </c>
    </row>
    <row r="130" spans="1:1" x14ac:dyDescent="0.15">
      <c r="A130" t="s">
        <v>300</v>
      </c>
    </row>
    <row r="131" spans="1:1" x14ac:dyDescent="0.15">
      <c r="A131" t="s">
        <v>315</v>
      </c>
    </row>
    <row r="132" spans="1:1" x14ac:dyDescent="0.15">
      <c r="A132" t="s">
        <v>130</v>
      </c>
    </row>
    <row r="133" spans="1:1" x14ac:dyDescent="0.15">
      <c r="A133" t="s">
        <v>106</v>
      </c>
    </row>
    <row r="134" spans="1:1" x14ac:dyDescent="0.15">
      <c r="A134" t="s">
        <v>170</v>
      </c>
    </row>
    <row r="135" spans="1:1" x14ac:dyDescent="0.15">
      <c r="A135" t="s">
        <v>144</v>
      </c>
    </row>
    <row r="136" spans="1:1" x14ac:dyDescent="0.15">
      <c r="A136" t="s">
        <v>145</v>
      </c>
    </row>
    <row r="137" spans="1:1" x14ac:dyDescent="0.15">
      <c r="A137" t="s">
        <v>155</v>
      </c>
    </row>
    <row r="138" spans="1:1" x14ac:dyDescent="0.15">
      <c r="A138" t="s">
        <v>194</v>
      </c>
    </row>
    <row r="139" spans="1:1" x14ac:dyDescent="0.15">
      <c r="A139" t="s">
        <v>301</v>
      </c>
    </row>
    <row r="140" spans="1:1" x14ac:dyDescent="0.15">
      <c r="A140" t="s">
        <v>327</v>
      </c>
    </row>
    <row r="141" spans="1:1" x14ac:dyDescent="0.15">
      <c r="A141" t="s">
        <v>302</v>
      </c>
    </row>
    <row r="142" spans="1:1" x14ac:dyDescent="0.15">
      <c r="A142" t="s">
        <v>328</v>
      </c>
    </row>
    <row r="143" spans="1:1" x14ac:dyDescent="0.15">
      <c r="A143" t="s">
        <v>132</v>
      </c>
    </row>
    <row r="144" spans="1:1" x14ac:dyDescent="0.15">
      <c r="A144" t="s">
        <v>106</v>
      </c>
    </row>
    <row r="145" spans="1:1" x14ac:dyDescent="0.15">
      <c r="A145" t="s">
        <v>324</v>
      </c>
    </row>
    <row r="146" spans="1:1" x14ac:dyDescent="0.15">
      <c r="A146" t="s">
        <v>107</v>
      </c>
    </row>
    <row r="147" spans="1:1" x14ac:dyDescent="0.15">
      <c r="A147" t="s">
        <v>161</v>
      </c>
    </row>
    <row r="148" spans="1:1" x14ac:dyDescent="0.15">
      <c r="A148" t="s">
        <v>164</v>
      </c>
    </row>
    <row r="149" spans="1:1" x14ac:dyDescent="0.15">
      <c r="A149" t="s">
        <v>325</v>
      </c>
    </row>
    <row r="150" spans="1:1" x14ac:dyDescent="0.15">
      <c r="A150" t="s">
        <v>295</v>
      </c>
    </row>
    <row r="151" spans="1:1" x14ac:dyDescent="0.15">
      <c r="A151" t="s">
        <v>296</v>
      </c>
    </row>
    <row r="152" spans="1:1" x14ac:dyDescent="0.15">
      <c r="A152" t="s">
        <v>297</v>
      </c>
    </row>
    <row r="153" spans="1:1" x14ac:dyDescent="0.15">
      <c r="A153" t="s">
        <v>314</v>
      </c>
    </row>
    <row r="154" spans="1:1" x14ac:dyDescent="0.15">
      <c r="A154" t="s">
        <v>135</v>
      </c>
    </row>
    <row r="155" spans="1:1" x14ac:dyDescent="0.15">
      <c r="A155" t="s">
        <v>106</v>
      </c>
    </row>
    <row r="156" spans="1:1" x14ac:dyDescent="0.15">
      <c r="A156" t="s">
        <v>171</v>
      </c>
    </row>
    <row r="157" spans="1:1" x14ac:dyDescent="0.15">
      <c r="A157" t="s">
        <v>146</v>
      </c>
    </row>
    <row r="158" spans="1:1" x14ac:dyDescent="0.15">
      <c r="A158" t="s">
        <v>108</v>
      </c>
    </row>
    <row r="159" spans="1:1" x14ac:dyDescent="0.15">
      <c r="A159" t="s">
        <v>155</v>
      </c>
    </row>
    <row r="160" spans="1:1" x14ac:dyDescent="0.15">
      <c r="A160" t="s">
        <v>195</v>
      </c>
    </row>
    <row r="161" spans="1:1" x14ac:dyDescent="0.15">
      <c r="A161" t="s">
        <v>303</v>
      </c>
    </row>
    <row r="162" spans="1:1" x14ac:dyDescent="0.15">
      <c r="A162" t="s">
        <v>279</v>
      </c>
    </row>
    <row r="163" spans="1:1" x14ac:dyDescent="0.15">
      <c r="A163" t="s">
        <v>304</v>
      </c>
    </row>
    <row r="164" spans="1:1" x14ac:dyDescent="0.15">
      <c r="A164" t="s">
        <v>309</v>
      </c>
    </row>
    <row r="165" spans="1:1" x14ac:dyDescent="0.15">
      <c r="A165" t="s">
        <v>137</v>
      </c>
    </row>
    <row r="166" spans="1:1" x14ac:dyDescent="0.15">
      <c r="A166" t="s">
        <v>333</v>
      </c>
    </row>
    <row r="167" spans="1:1" x14ac:dyDescent="0.15">
      <c r="A167" t="s">
        <v>334</v>
      </c>
    </row>
    <row r="168" spans="1:1" x14ac:dyDescent="0.15">
      <c r="A168" t="s">
        <v>335</v>
      </c>
    </row>
    <row r="169" spans="1:1" x14ac:dyDescent="0.15">
      <c r="A169" t="s">
        <v>161</v>
      </c>
    </row>
    <row r="170" spans="1:1" x14ac:dyDescent="0.15">
      <c r="A170" t="s">
        <v>164</v>
      </c>
    </row>
    <row r="171" spans="1:1" x14ac:dyDescent="0.15">
      <c r="A171" t="s">
        <v>336</v>
      </c>
    </row>
    <row r="172" spans="1:1" x14ac:dyDescent="0.15">
      <c r="A172" t="s">
        <v>295</v>
      </c>
    </row>
    <row r="173" spans="1:1" x14ac:dyDescent="0.15">
      <c r="A173" t="s">
        <v>296</v>
      </c>
    </row>
    <row r="174" spans="1:1" x14ac:dyDescent="0.15">
      <c r="A174" t="s">
        <v>297</v>
      </c>
    </row>
    <row r="175" spans="1:1" x14ac:dyDescent="0.15">
      <c r="A175" t="s">
        <v>314</v>
      </c>
    </row>
    <row r="176" spans="1:1" x14ac:dyDescent="0.15">
      <c r="A176" t="s">
        <v>138</v>
      </c>
    </row>
    <row r="177" spans="1:1" x14ac:dyDescent="0.15">
      <c r="A177" t="s">
        <v>106</v>
      </c>
    </row>
    <row r="178" spans="1:1" x14ac:dyDescent="0.15">
      <c r="A178" t="s">
        <v>172</v>
      </c>
    </row>
    <row r="179" spans="1:1" x14ac:dyDescent="0.15">
      <c r="A179" t="s">
        <v>147</v>
      </c>
    </row>
    <row r="180" spans="1:1" x14ac:dyDescent="0.15">
      <c r="A180" t="s">
        <v>134</v>
      </c>
    </row>
    <row r="181" spans="1:1" x14ac:dyDescent="0.15">
      <c r="A181" t="s">
        <v>110</v>
      </c>
    </row>
    <row r="182" spans="1:1" x14ac:dyDescent="0.15">
      <c r="A182" t="s">
        <v>196</v>
      </c>
    </row>
    <row r="183" spans="1:1" x14ac:dyDescent="0.15">
      <c r="A183" t="s">
        <v>289</v>
      </c>
    </row>
    <row r="184" spans="1:1" x14ac:dyDescent="0.15">
      <c r="A184" t="s">
        <v>290</v>
      </c>
    </row>
    <row r="185" spans="1:1" x14ac:dyDescent="0.15">
      <c r="A185" t="s">
        <v>291</v>
      </c>
    </row>
    <row r="186" spans="1:1" x14ac:dyDescent="0.15">
      <c r="A186" t="s">
        <v>312</v>
      </c>
    </row>
    <row r="187" spans="1:1" x14ac:dyDescent="0.15">
      <c r="A187" t="s">
        <v>337</v>
      </c>
    </row>
    <row r="188" spans="1:1" x14ac:dyDescent="0.15">
      <c r="A188" t="s">
        <v>106</v>
      </c>
    </row>
    <row r="189" spans="1:1" x14ac:dyDescent="0.15">
      <c r="A189" t="s">
        <v>172</v>
      </c>
    </row>
    <row r="190" spans="1:1" x14ac:dyDescent="0.15">
      <c r="A190" t="s">
        <v>148</v>
      </c>
    </row>
    <row r="191" spans="1:1" x14ac:dyDescent="0.15">
      <c r="A191" t="s">
        <v>161</v>
      </c>
    </row>
    <row r="192" spans="1:1" x14ac:dyDescent="0.15">
      <c r="A192" t="s">
        <v>164</v>
      </c>
    </row>
    <row r="193" spans="1:1" x14ac:dyDescent="0.15">
      <c r="A193" t="s">
        <v>197</v>
      </c>
    </row>
    <row r="194" spans="1:1" x14ac:dyDescent="0.15">
      <c r="A194" t="s">
        <v>295</v>
      </c>
    </row>
    <row r="195" spans="1:1" x14ac:dyDescent="0.15">
      <c r="A195" t="s">
        <v>296</v>
      </c>
    </row>
    <row r="196" spans="1:1" x14ac:dyDescent="0.15">
      <c r="A196" t="s">
        <v>297</v>
      </c>
    </row>
    <row r="197" spans="1:1" x14ac:dyDescent="0.15">
      <c r="A197" t="s">
        <v>314</v>
      </c>
    </row>
    <row r="198" spans="1:1" x14ac:dyDescent="0.15">
      <c r="A198" t="s">
        <v>353</v>
      </c>
    </row>
    <row r="199" spans="1:1" x14ac:dyDescent="0.15">
      <c r="A199" t="s">
        <v>354</v>
      </c>
    </row>
    <row r="200" spans="1:1" x14ac:dyDescent="0.15">
      <c r="A200" t="s">
        <v>355</v>
      </c>
    </row>
    <row r="201" spans="1:1" x14ac:dyDescent="0.15">
      <c r="A201" t="s">
        <v>356</v>
      </c>
    </row>
    <row r="202" spans="1:1" x14ac:dyDescent="0.15">
      <c r="A202" t="s">
        <v>357</v>
      </c>
    </row>
    <row r="203" spans="1:1" x14ac:dyDescent="0.15">
      <c r="A203" t="s">
        <v>110</v>
      </c>
    </row>
    <row r="204" spans="1:1" x14ac:dyDescent="0.15">
      <c r="A204" t="s">
        <v>358</v>
      </c>
    </row>
    <row r="205" spans="1:1" x14ac:dyDescent="0.15">
      <c r="A205" t="s">
        <v>359</v>
      </c>
    </row>
    <row r="206" spans="1:1" x14ac:dyDescent="0.15">
      <c r="A206" t="s">
        <v>360</v>
      </c>
    </row>
    <row r="207" spans="1:1" x14ac:dyDescent="0.15">
      <c r="A207" t="s">
        <v>361</v>
      </c>
    </row>
    <row r="208" spans="1:1" x14ac:dyDescent="0.15">
      <c r="A208" t="s">
        <v>362</v>
      </c>
    </row>
    <row r="209" spans="1:1" x14ac:dyDescent="0.15">
      <c r="A209" t="s">
        <v>342</v>
      </c>
    </row>
    <row r="210" spans="1:1" x14ac:dyDescent="0.15">
      <c r="A210" t="s">
        <v>157</v>
      </c>
    </row>
    <row r="211" spans="1:1" x14ac:dyDescent="0.15">
      <c r="A211" t="s">
        <v>172</v>
      </c>
    </row>
    <row r="212" spans="1:1" x14ac:dyDescent="0.15">
      <c r="A212" t="s">
        <v>158</v>
      </c>
    </row>
    <row r="213" spans="1:1" x14ac:dyDescent="0.15">
      <c r="A213" t="s">
        <v>159</v>
      </c>
    </row>
    <row r="214" spans="1:1" x14ac:dyDescent="0.15">
      <c r="A214" t="s">
        <v>110</v>
      </c>
    </row>
    <row r="215" spans="1:1" x14ac:dyDescent="0.15">
      <c r="A215" t="s">
        <v>198</v>
      </c>
    </row>
    <row r="216" spans="1:1" x14ac:dyDescent="0.15">
      <c r="A216" t="s">
        <v>305</v>
      </c>
    </row>
    <row r="217" spans="1:1" x14ac:dyDescent="0.15">
      <c r="A217" t="s">
        <v>306</v>
      </c>
    </row>
    <row r="218" spans="1:1" x14ac:dyDescent="0.15">
      <c r="A218" t="s">
        <v>307</v>
      </c>
    </row>
    <row r="219" spans="1:1" x14ac:dyDescent="0.15">
      <c r="A219" t="s">
        <v>316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N19"/>
  <sheetViews>
    <sheetView topLeftCell="A334" zoomScale="85" zoomScaleNormal="85" workbookViewId="0">
      <selection activeCell="A357" sqref="A357"/>
    </sheetView>
  </sheetViews>
  <sheetFormatPr defaultRowHeight="13.5" x14ac:dyDescent="0.15"/>
  <cols>
    <col min="1" max="6" width="17.125" customWidth="1"/>
    <col min="7" max="7" width="26.25" customWidth="1"/>
    <col min="8" max="8" width="20.375" customWidth="1"/>
    <col min="9" max="9" width="19.375" customWidth="1"/>
    <col min="10" max="10" width="57.875" customWidth="1"/>
    <col min="11" max="11" width="66.75" bestFit="1" customWidth="1"/>
    <col min="12" max="13" width="17.125" customWidth="1"/>
  </cols>
  <sheetData>
    <row r="7" spans="1:14" s="5" customFormat="1" ht="14.25" x14ac:dyDescent="0.15">
      <c r="A7" s="3" t="s">
        <v>64</v>
      </c>
      <c r="B7" s="3" t="s">
        <v>75</v>
      </c>
      <c r="C7" s="3" t="s">
        <v>76</v>
      </c>
      <c r="D7" s="3" t="s">
        <v>77</v>
      </c>
      <c r="E7" s="3" t="s">
        <v>78</v>
      </c>
      <c r="F7" s="3" t="s">
        <v>102</v>
      </c>
      <c r="G7" s="3" t="s">
        <v>101</v>
      </c>
      <c r="H7" s="3" t="s">
        <v>103</v>
      </c>
      <c r="I7" s="3" t="s">
        <v>98</v>
      </c>
      <c r="J7" s="3" t="s">
        <v>99</v>
      </c>
      <c r="K7" s="3" t="s">
        <v>100</v>
      </c>
      <c r="L7" s="3" t="s">
        <v>68</v>
      </c>
      <c r="M7" s="3" t="s">
        <v>65</v>
      </c>
      <c r="N7" s="4"/>
    </row>
    <row r="8" spans="1:14" s="1" customFormat="1" x14ac:dyDescent="0.15">
      <c r="A8" s="2" t="s">
        <v>0</v>
      </c>
      <c r="B8" s="8" t="s">
        <v>79</v>
      </c>
      <c r="C8" s="8" t="s">
        <v>67</v>
      </c>
      <c r="D8" s="8" t="s">
        <v>1</v>
      </c>
      <c r="E8" s="8"/>
      <c r="F8" s="8" t="s">
        <v>2</v>
      </c>
      <c r="G8" s="2" t="s">
        <v>5</v>
      </c>
      <c r="H8" s="8"/>
      <c r="I8" s="2"/>
      <c r="J8" s="2" t="s">
        <v>3</v>
      </c>
      <c r="K8" s="2" t="s">
        <v>4</v>
      </c>
      <c r="L8" s="2"/>
      <c r="M8" s="2"/>
      <c r="N8"/>
    </row>
    <row r="9" spans="1:14" s="1" customFormat="1" x14ac:dyDescent="0.15">
      <c r="A9" s="2" t="s">
        <v>62</v>
      </c>
      <c r="B9" s="8" t="s">
        <v>84</v>
      </c>
      <c r="C9" s="8" t="s">
        <v>67</v>
      </c>
      <c r="D9" s="8" t="s">
        <v>13</v>
      </c>
      <c r="E9" s="8"/>
      <c r="F9" s="8" t="s">
        <v>14</v>
      </c>
      <c r="G9" s="2"/>
      <c r="H9" s="8"/>
      <c r="I9" s="2"/>
      <c r="J9" s="2"/>
      <c r="K9" s="2"/>
      <c r="L9" s="2"/>
      <c r="M9" s="2"/>
      <c r="N9"/>
    </row>
    <row r="10" spans="1:14" s="1" customFormat="1" x14ac:dyDescent="0.15">
      <c r="A10" s="2" t="s">
        <v>10</v>
      </c>
      <c r="B10" s="8" t="s">
        <v>82</v>
      </c>
      <c r="C10" s="8" t="s">
        <v>67</v>
      </c>
      <c r="D10" s="8" t="s">
        <v>1</v>
      </c>
      <c r="E10" s="8" t="s">
        <v>11</v>
      </c>
      <c r="F10" s="8" t="s">
        <v>12</v>
      </c>
      <c r="G10" s="2" t="s">
        <v>8</v>
      </c>
      <c r="H10" s="8"/>
      <c r="I10" s="2"/>
      <c r="J10" s="2" t="s">
        <v>6</v>
      </c>
      <c r="K10" s="2" t="s">
        <v>7</v>
      </c>
      <c r="L10" s="2"/>
      <c r="M10" s="2"/>
      <c r="N10"/>
    </row>
    <row r="11" spans="1:14" s="1" customFormat="1" x14ac:dyDescent="0.15">
      <c r="A11" s="2" t="s">
        <v>15</v>
      </c>
      <c r="B11" s="8" t="s">
        <v>85</v>
      </c>
      <c r="C11" s="8" t="s">
        <v>67</v>
      </c>
      <c r="D11" s="8" t="s">
        <v>13</v>
      </c>
      <c r="E11" s="8" t="s">
        <v>16</v>
      </c>
      <c r="F11" s="8" t="s">
        <v>17</v>
      </c>
      <c r="G11" s="2" t="s">
        <v>8</v>
      </c>
      <c r="H11" s="8"/>
      <c r="I11" s="2"/>
      <c r="J11" s="2" t="s">
        <v>6</v>
      </c>
      <c r="K11" s="2" t="s">
        <v>7</v>
      </c>
      <c r="L11" s="2"/>
      <c r="M11" s="2"/>
      <c r="N11"/>
    </row>
    <row r="12" spans="1:14" s="1" customFormat="1" x14ac:dyDescent="0.15">
      <c r="A12" s="2" t="s">
        <v>18</v>
      </c>
      <c r="B12" s="8" t="s">
        <v>86</v>
      </c>
      <c r="C12" s="8" t="s">
        <v>66</v>
      </c>
      <c r="D12" s="8" t="s">
        <v>13</v>
      </c>
      <c r="E12" s="8"/>
      <c r="F12" s="8" t="s">
        <v>19</v>
      </c>
      <c r="G12" s="2" t="s">
        <v>22</v>
      </c>
      <c r="H12" s="8"/>
      <c r="I12" s="2"/>
      <c r="J12" s="2" t="s">
        <v>20</v>
      </c>
      <c r="K12" s="2" t="s">
        <v>21</v>
      </c>
      <c r="L12" s="2"/>
      <c r="M12" s="2"/>
      <c r="N12"/>
    </row>
    <row r="13" spans="1:14" s="1" customFormat="1" x14ac:dyDescent="0.15">
      <c r="A13" s="2" t="s">
        <v>27</v>
      </c>
      <c r="B13" s="8" t="s">
        <v>88</v>
      </c>
      <c r="C13" s="8" t="s">
        <v>66</v>
      </c>
      <c r="D13" s="8" t="s">
        <v>13</v>
      </c>
      <c r="E13" s="8" t="s">
        <v>28</v>
      </c>
      <c r="F13" s="8" t="s">
        <v>29</v>
      </c>
      <c r="G13" s="2" t="s">
        <v>8</v>
      </c>
      <c r="H13" s="8"/>
      <c r="I13" s="2"/>
      <c r="J13" s="2" t="s">
        <v>6</v>
      </c>
      <c r="K13" s="2" t="s">
        <v>7</v>
      </c>
      <c r="L13" s="2"/>
      <c r="M13" s="2"/>
      <c r="N13"/>
    </row>
    <row r="14" spans="1:14" s="1" customFormat="1" x14ac:dyDescent="0.15">
      <c r="A14" s="2" t="s">
        <v>33</v>
      </c>
      <c r="B14" s="8" t="s">
        <v>94</v>
      </c>
      <c r="C14" s="8" t="s">
        <v>66</v>
      </c>
      <c r="D14" s="8" t="s">
        <v>34</v>
      </c>
      <c r="E14" s="8"/>
      <c r="F14" s="8" t="s">
        <v>35</v>
      </c>
      <c r="G14" s="2" t="s">
        <v>38</v>
      </c>
      <c r="H14" s="8"/>
      <c r="I14" s="2"/>
      <c r="J14" s="2" t="s">
        <v>36</v>
      </c>
      <c r="K14" s="2" t="s">
        <v>37</v>
      </c>
      <c r="L14" s="2"/>
      <c r="M14" s="2"/>
      <c r="N14"/>
    </row>
    <row r="15" spans="1:14" s="1" customFormat="1" x14ac:dyDescent="0.15">
      <c r="A15" s="2" t="s">
        <v>42</v>
      </c>
      <c r="B15" s="8" t="s">
        <v>96</v>
      </c>
      <c r="C15" s="8" t="s">
        <v>66</v>
      </c>
      <c r="D15" s="8" t="s">
        <v>43</v>
      </c>
      <c r="E15" s="8"/>
      <c r="F15" s="8" t="s">
        <v>44</v>
      </c>
      <c r="G15" s="2" t="s">
        <v>47</v>
      </c>
      <c r="H15" s="8"/>
      <c r="I15" s="2"/>
      <c r="J15" s="2" t="s">
        <v>45</v>
      </c>
      <c r="K15" s="2" t="s">
        <v>46</v>
      </c>
      <c r="L15" s="2"/>
      <c r="M15" s="2"/>
      <c r="N15"/>
    </row>
    <row r="16" spans="1:14" s="1" customFormat="1" x14ac:dyDescent="0.15">
      <c r="A16" s="2" t="s">
        <v>51</v>
      </c>
      <c r="B16" s="8" t="s">
        <v>97</v>
      </c>
      <c r="C16" s="8" t="s">
        <v>66</v>
      </c>
      <c r="D16" s="8" t="s">
        <v>52</v>
      </c>
      <c r="E16" s="8"/>
      <c r="F16" s="8" t="s">
        <v>53</v>
      </c>
      <c r="G16" s="2" t="s">
        <v>55</v>
      </c>
      <c r="H16" s="8"/>
      <c r="I16" s="2"/>
      <c r="J16" s="2"/>
      <c r="K16" s="2" t="s">
        <v>54</v>
      </c>
      <c r="L16" s="2"/>
      <c r="M16" s="2"/>
      <c r="N16"/>
    </row>
    <row r="17" spans="1:14" s="1" customFormat="1" x14ac:dyDescent="0.15">
      <c r="A17" s="2"/>
      <c r="B17" s="8" t="s">
        <v>82</v>
      </c>
      <c r="C17" s="8" t="s">
        <v>66</v>
      </c>
      <c r="D17" s="8" t="s">
        <v>150</v>
      </c>
      <c r="E17" s="8" t="s">
        <v>153</v>
      </c>
      <c r="F17" s="8" t="s">
        <v>23</v>
      </c>
      <c r="G17" s="2" t="s">
        <v>26</v>
      </c>
      <c r="H17" s="8"/>
      <c r="I17" s="2" t="str">
        <f>E17&amp; " " &amp; G17</f>
        <v>【1-2F】(仓库) HP LaserJet 400 M401 PCL 6</v>
      </c>
      <c r="J17" s="2" t="s">
        <v>24</v>
      </c>
      <c r="K17" s="2" t="s">
        <v>25</v>
      </c>
      <c r="L17" s="2"/>
      <c r="M17" s="2"/>
      <c r="N17"/>
    </row>
    <row r="18" spans="1:14" s="1" customFormat="1" x14ac:dyDescent="0.15">
      <c r="A18" s="2"/>
      <c r="B18" s="8" t="s">
        <v>93</v>
      </c>
      <c r="C18" s="8" t="s">
        <v>66</v>
      </c>
      <c r="D18" s="8" t="s">
        <v>152</v>
      </c>
      <c r="E18" s="8"/>
      <c r="F18" s="8" t="s">
        <v>49</v>
      </c>
      <c r="G18" s="2" t="s">
        <v>50</v>
      </c>
      <c r="H18" s="8" t="s">
        <v>154</v>
      </c>
      <c r="I18" s="2" t="str">
        <f t="shared" ref="I18:I19" si="0">E18&amp; " " &amp; G18</f>
        <v xml:space="preserve"> FX DocuCentre-II 4000 PCL 6</v>
      </c>
      <c r="J18" s="2" t="s">
        <v>56</v>
      </c>
      <c r="K18" s="2" t="s">
        <v>57</v>
      </c>
      <c r="L18" s="2"/>
      <c r="M18" s="2" t="s">
        <v>69</v>
      </c>
      <c r="N18"/>
    </row>
    <row r="19" spans="1:14" s="1" customFormat="1" x14ac:dyDescent="0.15">
      <c r="A19" s="2"/>
      <c r="B19" s="8" t="s">
        <v>88</v>
      </c>
      <c r="C19" s="8" t="s">
        <v>66</v>
      </c>
      <c r="D19" s="8" t="s">
        <v>151</v>
      </c>
      <c r="E19" s="8"/>
      <c r="F19" s="8" t="s">
        <v>72</v>
      </c>
      <c r="G19" s="2" t="s">
        <v>41</v>
      </c>
      <c r="H19" s="8" t="s">
        <v>154</v>
      </c>
      <c r="I19" s="2" t="str">
        <f t="shared" si="0"/>
        <v xml:space="preserve"> FX ApeosPort-V C3373 T2 PCL 6</v>
      </c>
      <c r="J19" s="2" t="s">
        <v>39</v>
      </c>
      <c r="K19" s="2" t="s">
        <v>40</v>
      </c>
      <c r="L19" s="2"/>
      <c r="M19" s="2"/>
      <c r="N19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printer</vt:lpstr>
      <vt:lpstr>inifile</vt:lpstr>
      <vt:lpstr>otherbak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sun baolu/孙宝禄</cp:lastModifiedBy>
  <cp:lastPrinted>2020-07-24T02:42:04Z</cp:lastPrinted>
  <dcterms:created xsi:type="dcterms:W3CDTF">2016-06-23T04:03:00Z</dcterms:created>
  <dcterms:modified xsi:type="dcterms:W3CDTF">2022-07-11T23:59:35Z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